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vi\Downloads\"/>
    </mc:Choice>
  </mc:AlternateContent>
  <xr:revisionPtr revIDLastSave="0" documentId="13_ncr:1_{A43AB865-23DD-4CB0-B655-04EB28C6BE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2" i="1"/>
</calcChain>
</file>

<file path=xl/sharedStrings.xml><?xml version="1.0" encoding="utf-8"?>
<sst xmlns="http://schemas.openxmlformats.org/spreadsheetml/2006/main" count="1393" uniqueCount="337">
  <si>
    <t>Name</t>
  </si>
  <si>
    <t>Alias</t>
  </si>
  <si>
    <t>Flag</t>
  </si>
  <si>
    <t>ParticipantId</t>
  </si>
  <si>
    <t>Codigo_proyecto</t>
  </si>
  <si>
    <t>VisitId</t>
  </si>
  <si>
    <t>Ciclo_mestrual</t>
  </si>
  <si>
    <t>Fecha_toma_muestra_glicerol</t>
  </si>
  <si>
    <t>Tiempo_guardado_4_C_glicerol</t>
  </si>
  <si>
    <t>Fecha_almacenamiento_-20_C_glicerol</t>
  </si>
  <si>
    <t>Operador</t>
  </si>
  <si>
    <t>Ubicacion_criobox_-80_C</t>
  </si>
  <si>
    <t>N_criobox</t>
  </si>
  <si>
    <t>Ubicacion_dentro_criobox_-80_C</t>
  </si>
  <si>
    <t>Volumen_final_criovial</t>
  </si>
  <si>
    <t>Observaciones</t>
  </si>
  <si>
    <t>0270dc</t>
  </si>
  <si>
    <t>LAU2-L001-G-V3</t>
  </si>
  <si>
    <t>da1a82</t>
  </si>
  <si>
    <t>LAU2-L002-G-V3</t>
  </si>
  <si>
    <t>ddedc8</t>
  </si>
  <si>
    <t>LAU2-L003-G-V3</t>
  </si>
  <si>
    <t>12eb9d</t>
  </si>
  <si>
    <t>LAU2-L004-G-V3</t>
  </si>
  <si>
    <t>7b87eb</t>
  </si>
  <si>
    <t>LAU2-L005-G-V3</t>
  </si>
  <si>
    <t>b80e1b</t>
  </si>
  <si>
    <t>LAU2-L006-G-V3</t>
  </si>
  <si>
    <t>3ffdac</t>
  </si>
  <si>
    <t>LAU2-L007-G-V3</t>
  </si>
  <si>
    <t>6722bf</t>
  </si>
  <si>
    <t>LAU2-L008-G-V3</t>
  </si>
  <si>
    <t>ef7845</t>
  </si>
  <si>
    <t>LAU2-L009-G-V3</t>
  </si>
  <si>
    <t>cee96d</t>
  </si>
  <si>
    <t>LAU2-L010-G-V3</t>
  </si>
  <si>
    <t>a8cf83</t>
  </si>
  <si>
    <t>LAU2-L011-G-V3</t>
  </si>
  <si>
    <t>fe4d70</t>
  </si>
  <si>
    <t>LAU2-L012-G-V3</t>
  </si>
  <si>
    <t>1df464</t>
  </si>
  <si>
    <t>LAU2-L013-G-V3</t>
  </si>
  <si>
    <t>7cefb3</t>
  </si>
  <si>
    <t>LAU2-L014-G-V3</t>
  </si>
  <si>
    <t>8ec620</t>
  </si>
  <si>
    <t>LAU2-L015-G-V3</t>
  </si>
  <si>
    <t>7eaa46</t>
  </si>
  <si>
    <t>LAU2-L016-G-V3</t>
  </si>
  <si>
    <t>9325ce</t>
  </si>
  <si>
    <t>LAU2-L017-G-V3</t>
  </si>
  <si>
    <t>3549d5</t>
  </si>
  <si>
    <t>LAU2-L018-G-V3</t>
  </si>
  <si>
    <t>55f5ca</t>
  </si>
  <si>
    <t>LAU2-L019-G-V3</t>
  </si>
  <si>
    <t>47fc53</t>
  </si>
  <si>
    <t>LAU2-L020-G-V3</t>
  </si>
  <si>
    <t>8aee0e</t>
  </si>
  <si>
    <t>LAU2-L021-G-V3</t>
  </si>
  <si>
    <t>e8bd85</t>
  </si>
  <si>
    <t>LAU2-L022-G-V3</t>
  </si>
  <si>
    <t>36fc6f</t>
  </si>
  <si>
    <t>LAU2-L023-G-V3</t>
  </si>
  <si>
    <t>130bbe</t>
  </si>
  <si>
    <t>LAU2-L024-G-V3</t>
  </si>
  <si>
    <t>e6864e</t>
  </si>
  <si>
    <t>LAU2-L025-G-V3</t>
  </si>
  <si>
    <t>0554d4</t>
  </si>
  <si>
    <t>LAU2-L026-G-V3</t>
  </si>
  <si>
    <t>c6f6f4</t>
  </si>
  <si>
    <t>LAU2-L027-G-V3</t>
  </si>
  <si>
    <t>5d1969</t>
  </si>
  <si>
    <t>LAU2-L028-G-V3</t>
  </si>
  <si>
    <t>489a1d</t>
  </si>
  <si>
    <t>LAU2-L029-G-V3</t>
  </si>
  <si>
    <t>3f01bd</t>
  </si>
  <si>
    <t>LAU2-L030-G-V3</t>
  </si>
  <si>
    <t>cd1b83</t>
  </si>
  <si>
    <t>LAU2-L031-G-V3</t>
  </si>
  <si>
    <t>2ea28a</t>
  </si>
  <si>
    <t>LAU2-L032-G-V3</t>
  </si>
  <si>
    <t>4b4d2c</t>
  </si>
  <si>
    <t>LAU2-L033-G-V3</t>
  </si>
  <si>
    <t>930b0c</t>
  </si>
  <si>
    <t>LAU2-L034-G-V3</t>
  </si>
  <si>
    <t>5e98b5</t>
  </si>
  <si>
    <t>LAU2-L035-G-V3</t>
  </si>
  <si>
    <t>20caea</t>
  </si>
  <si>
    <t>LAU2-L036-G-V3</t>
  </si>
  <si>
    <t>e45ddd</t>
  </si>
  <si>
    <t>LAU2-L037-G-V3</t>
  </si>
  <si>
    <t>4147cd</t>
  </si>
  <si>
    <t>LAU2-L038-G-V3</t>
  </si>
  <si>
    <t>ecd6aa</t>
  </si>
  <si>
    <t>LAU2-L039-G-V3</t>
  </si>
  <si>
    <t>92aa2e</t>
  </si>
  <si>
    <t>LAU2-L040-G-V3</t>
  </si>
  <si>
    <t>43ee63</t>
  </si>
  <si>
    <t>LAU2-L041-G-V3</t>
  </si>
  <si>
    <t>d783ea</t>
  </si>
  <si>
    <t>LAU2-L042-G-V3</t>
  </si>
  <si>
    <t>571cf0</t>
  </si>
  <si>
    <t>LAU2-L043-G-V3</t>
  </si>
  <si>
    <t>43de21</t>
  </si>
  <si>
    <t>LAU2-L044-G-V3</t>
  </si>
  <si>
    <t>3d82b4</t>
  </si>
  <si>
    <t>LAU2-L045-G-V3</t>
  </si>
  <si>
    <t>1c2eff</t>
  </si>
  <si>
    <t>LAU2-L046-G-V3</t>
  </si>
  <si>
    <t>b3c679</t>
  </si>
  <si>
    <t>LAU2-L047-G-V3</t>
  </si>
  <si>
    <t>ae8093</t>
  </si>
  <si>
    <t>LAU2-L048-G-V3</t>
  </si>
  <si>
    <t>f136c9</t>
  </si>
  <si>
    <t>LAU2-L049-G-V3</t>
  </si>
  <si>
    <t>6e3b9f</t>
  </si>
  <si>
    <t>LAU2-L050-G-V3</t>
  </si>
  <si>
    <t>51eefc</t>
  </si>
  <si>
    <t>LAU2-L051-G-V3</t>
  </si>
  <si>
    <t>6b78e9</t>
  </si>
  <si>
    <t>LAU2-L052-G-V3</t>
  </si>
  <si>
    <t>5ff296</t>
  </si>
  <si>
    <t>LAU2-L053-G-V3</t>
  </si>
  <si>
    <t>a6d9f5</t>
  </si>
  <si>
    <t>LAU2-L054-G-V3</t>
  </si>
  <si>
    <t>d5a986</t>
  </si>
  <si>
    <t>LAU2-L055-G-V3</t>
  </si>
  <si>
    <t>72a78c</t>
  </si>
  <si>
    <t>LAU2-L056-G-V3</t>
  </si>
  <si>
    <t>ca9405</t>
  </si>
  <si>
    <t>LAU2-L057-G-V3</t>
  </si>
  <si>
    <t>aee584</t>
  </si>
  <si>
    <t>LAU2-L058-G-V3</t>
  </si>
  <si>
    <t>f5cbd5</t>
  </si>
  <si>
    <t>LAU2-L059-G-V3</t>
  </si>
  <si>
    <t>89bc7b</t>
  </si>
  <si>
    <t>LAU2-L060-G-V3</t>
  </si>
  <si>
    <t>e09f64</t>
  </si>
  <si>
    <t>LAU2-L061-G-V3</t>
  </si>
  <si>
    <t>b72a09</t>
  </si>
  <si>
    <t>LAU2-L062-G-V3</t>
  </si>
  <si>
    <t>73c568</t>
  </si>
  <si>
    <t>LAU2-L063-G-V3</t>
  </si>
  <si>
    <t>e0ebcd</t>
  </si>
  <si>
    <t>LAU2-L064-G-V3</t>
  </si>
  <si>
    <t>2a395a</t>
  </si>
  <si>
    <t>LAU2-L065-G-V3</t>
  </si>
  <si>
    <t>3341ee</t>
  </si>
  <si>
    <t>LAU2-L066-G-V3</t>
  </si>
  <si>
    <t>666fe1</t>
  </si>
  <si>
    <t>LAU2-L068-G-V3</t>
  </si>
  <si>
    <t>3905cf</t>
  </si>
  <si>
    <t>LAU2-L069-G-V3</t>
  </si>
  <si>
    <t>fc163f</t>
  </si>
  <si>
    <t>LAU2-L070-G-V3</t>
  </si>
  <si>
    <t>d7b012</t>
  </si>
  <si>
    <t>LAU2-L071-G-V3</t>
  </si>
  <si>
    <t>e20a52</t>
  </si>
  <si>
    <t>LAU2-L072-G-V3</t>
  </si>
  <si>
    <t>2fa5c3</t>
  </si>
  <si>
    <t>LAU2-L073-G-V3</t>
  </si>
  <si>
    <t>9027f1</t>
  </si>
  <si>
    <t>LAU2-L074-G-V3</t>
  </si>
  <si>
    <t>f90a08</t>
  </si>
  <si>
    <t>LAU2-L075-G-V3</t>
  </si>
  <si>
    <t>c7a224</t>
  </si>
  <si>
    <t>LAU2-L076-G-V3</t>
  </si>
  <si>
    <t>8b9d47</t>
  </si>
  <si>
    <t>LAU2-L077-G-V3</t>
  </si>
  <si>
    <t>16733b</t>
  </si>
  <si>
    <t>LAU2-L078-G-V3</t>
  </si>
  <si>
    <t>aa9e0f</t>
  </si>
  <si>
    <t>LAU2-L079-G-V3</t>
  </si>
  <si>
    <t>LAU2-L080-G-V3</t>
  </si>
  <si>
    <t>2af076</t>
  </si>
  <si>
    <t>LAU2-L081-G-V3</t>
  </si>
  <si>
    <t>72fd0c</t>
  </si>
  <si>
    <t>LAU2-L082-G-V3</t>
  </si>
  <si>
    <t>6829a5</t>
  </si>
  <si>
    <t>LAU2-L083-G-V3</t>
  </si>
  <si>
    <t>3b6ac8</t>
  </si>
  <si>
    <t>LAU2-L084-G-V3</t>
  </si>
  <si>
    <t>0f4268</t>
  </si>
  <si>
    <t>LAU2-L085-G-V3</t>
  </si>
  <si>
    <t>cc31ce</t>
  </si>
  <si>
    <t>LAU2-L088-G-V3</t>
  </si>
  <si>
    <t>74e3bb</t>
  </si>
  <si>
    <t>LAU2-L089-G-V3</t>
  </si>
  <si>
    <t>f0590b</t>
  </si>
  <si>
    <t>LAU2-L090-G-V3</t>
  </si>
  <si>
    <t>9844a9</t>
  </si>
  <si>
    <t>LAU2-L092-G-V3</t>
  </si>
  <si>
    <t>e4c683</t>
  </si>
  <si>
    <t>b2c1ac</t>
  </si>
  <si>
    <t>c0cd37</t>
  </si>
  <si>
    <t>9f42fe</t>
  </si>
  <si>
    <t>d14754</t>
  </si>
  <si>
    <t>fb19c0</t>
  </si>
  <si>
    <t>174d1d</t>
  </si>
  <si>
    <t>2ec743</t>
  </si>
  <si>
    <t>0a0518</t>
  </si>
  <si>
    <t>deabbe</t>
  </si>
  <si>
    <t>43418f</t>
  </si>
  <si>
    <t>6a88e5</t>
  </si>
  <si>
    <t>ddebc8</t>
  </si>
  <si>
    <t>7636eb</t>
  </si>
  <si>
    <t>eaf745</t>
  </si>
  <si>
    <t>c4da3d</t>
  </si>
  <si>
    <t>LAU2-L077-G-V6</t>
  </si>
  <si>
    <t>d85c58</t>
  </si>
  <si>
    <t>1aca52</t>
  </si>
  <si>
    <t>ea0a50</t>
  </si>
  <si>
    <t>LAU2-L068-G-V6</t>
  </si>
  <si>
    <t>LAU2-L090-G-V6</t>
  </si>
  <si>
    <t>LAU2-L075-G-V6</t>
  </si>
  <si>
    <t>357d3c</t>
  </si>
  <si>
    <t>LAU2-L108-G-V6</t>
  </si>
  <si>
    <t>LAU2-L098-G-V6</t>
  </si>
  <si>
    <t>LAU2-L099-G-V6</t>
  </si>
  <si>
    <t>LAU2-L104-G-V6</t>
  </si>
  <si>
    <t>22a292</t>
  </si>
  <si>
    <t>LAU2-L110-G-V6</t>
  </si>
  <si>
    <t>LAU2-L100-G-V6</t>
  </si>
  <si>
    <t>608f38</t>
  </si>
  <si>
    <t>LAU2-L109-G-V6</t>
  </si>
  <si>
    <t>LAU2-L092-G-V6</t>
  </si>
  <si>
    <t>LAU2-L102-G-V6</t>
  </si>
  <si>
    <t>LAU2-L105-G-V6</t>
  </si>
  <si>
    <t>Y.R.Q</t>
  </si>
  <si>
    <t>Nivel 2</t>
  </si>
  <si>
    <t>box 1</t>
  </si>
  <si>
    <t>1 ml</t>
  </si>
  <si>
    <t>Ninguna</t>
  </si>
  <si>
    <t>Tubo transparente, casi nada de pellet</t>
  </si>
  <si>
    <t>Se baño antes de la toma de muestra</t>
  </si>
  <si>
    <t>Se baño antes de la toma de muestra y tuvo relaciones sexuales.</t>
  </si>
  <si>
    <t>Mucha mucosidad dificultad en el momento de generar el stock de glicerol</t>
  </si>
  <si>
    <t>box 2</t>
  </si>
  <si>
    <t>46:31</t>
  </si>
  <si>
    <t>42:05</t>
  </si>
  <si>
    <t>Tubo liquido rojizo</t>
  </si>
  <si>
    <t>Liquido rojizo</t>
  </si>
  <si>
    <t>Swab con poco volumen.</t>
  </si>
  <si>
    <t>LAU2-L093-G-V3</t>
  </si>
  <si>
    <t>LAU2-L094-G-V3</t>
  </si>
  <si>
    <t>LAU2-L095-G-V3</t>
  </si>
  <si>
    <t>LAU2-L096-G-V3</t>
  </si>
  <si>
    <t>LAU2-L097-G-V3</t>
  </si>
  <si>
    <t>LAU2-L098-G-V3</t>
  </si>
  <si>
    <t>LAU2-L099-G-V3</t>
  </si>
  <si>
    <t>LAU2-L100-G-V3</t>
  </si>
  <si>
    <t>LAU2-L101-G-V3</t>
  </si>
  <si>
    <t>LAU2-L102-G-V3</t>
  </si>
  <si>
    <t>LAU2-L104-G-V3</t>
  </si>
  <si>
    <t>LAU2-L105-G-V3</t>
  </si>
  <si>
    <t>LAU2-L001-G-V6</t>
  </si>
  <si>
    <t>LAU2-L002-G-V6</t>
  </si>
  <si>
    <t>LAU2-L067-G-V6</t>
  </si>
  <si>
    <t>LAU2-L017-G-V6</t>
  </si>
  <si>
    <t>LAU2-L013-G-V6</t>
  </si>
  <si>
    <t>LAU2-L003-G-V6</t>
  </si>
  <si>
    <t>LAU2-L004-G-V6</t>
  </si>
  <si>
    <t>LAU2-L008-G-V6</t>
  </si>
  <si>
    <t>LAU2-L009-G-V6</t>
  </si>
  <si>
    <t>LAU2-L011-G-V6</t>
  </si>
  <si>
    <t>LAU2-L015-G-V6</t>
  </si>
  <si>
    <t>LAU2-L010-G-V6</t>
  </si>
  <si>
    <t>LAU2-L086-G-V6</t>
  </si>
  <si>
    <t>LAU2-L006-G-V6</t>
  </si>
  <si>
    <t>LAU2-L020-G-V6</t>
  </si>
  <si>
    <t>LAU2-L087-G-V6</t>
  </si>
  <si>
    <t>LAU2-L033-G-V6</t>
  </si>
  <si>
    <t>LAU2-L032-G-V6</t>
  </si>
  <si>
    <t>LAU2-L016-G-V6</t>
  </si>
  <si>
    <t>LAU2-L005-G-V6</t>
  </si>
  <si>
    <t>LAU2-L024-G-V6</t>
  </si>
  <si>
    <t>LAU2-L028-G-V6</t>
  </si>
  <si>
    <t>LAU2-L027-G-V6</t>
  </si>
  <si>
    <t>LAU2-L018-G-V6</t>
  </si>
  <si>
    <t>LAU2-L091-G-V6</t>
  </si>
  <si>
    <t>LAU2-L021-G-V6</t>
  </si>
  <si>
    <t>LAU2-L019-G-V6</t>
  </si>
  <si>
    <t>LAU2-L030-G-V6</t>
  </si>
  <si>
    <t>LAU2-L036-G-V6</t>
  </si>
  <si>
    <t>LAU2-L048-G-V6</t>
  </si>
  <si>
    <t>LAU2-L023-G-V6</t>
  </si>
  <si>
    <t>LAU2-L049-G-V6</t>
  </si>
  <si>
    <t>LAU2-L012-G-V6</t>
  </si>
  <si>
    <t>LAU2-L029-G-V6</t>
  </si>
  <si>
    <t>LAU2-L007-G-V6</t>
  </si>
  <si>
    <t>LAU2-L025-G-V6</t>
  </si>
  <si>
    <t>LAU2-L046-G-V6</t>
  </si>
  <si>
    <t>LAU2-L042-G-V6</t>
  </si>
  <si>
    <t>LAU2-L054-G-V6</t>
  </si>
  <si>
    <t>LAU2-L038-G-V6</t>
  </si>
  <si>
    <t>LAU2-L041-G-V6</t>
  </si>
  <si>
    <t>LAU2-L039-G-V6</t>
  </si>
  <si>
    <t>LAU2-L035-G-V6</t>
  </si>
  <si>
    <t>LAU2-L044-G-V6</t>
  </si>
  <si>
    <t>LAU2-L051-G-V6</t>
  </si>
  <si>
    <t>LAU2-L037-G-V6</t>
  </si>
  <si>
    <t>LAU2-L055-G-V6</t>
  </si>
  <si>
    <t>LAU2-L058-G-V6</t>
  </si>
  <si>
    <t>LAU2-L056-G-V6</t>
  </si>
  <si>
    <t>LAU2-L060-G-V6</t>
  </si>
  <si>
    <t>LAU2-L066-G-V6</t>
  </si>
  <si>
    <t>LAU2-L065-G-V6</t>
  </si>
  <si>
    <t>LAU2-L034-G-V6</t>
  </si>
  <si>
    <t>LAU2-L062-G-V6</t>
  </si>
  <si>
    <t>LAU2-L057-G-V6</t>
  </si>
  <si>
    <t>LAU2-L059-G-V6</t>
  </si>
  <si>
    <t>LAU2-L070-G-V6</t>
  </si>
  <si>
    <t>LAU2-L072-G-V6</t>
  </si>
  <si>
    <t>LAU2-L069-G-V6</t>
  </si>
  <si>
    <t>LAU2-L071-G-V6</t>
  </si>
  <si>
    <t>LAU2-L043-G-V6</t>
  </si>
  <si>
    <t>LAU2-L061-G-V6</t>
  </si>
  <si>
    <t>LAU2-L081-G-V6</t>
  </si>
  <si>
    <t>LAU2-L063-G-V6</t>
  </si>
  <si>
    <t>LAU2-L103-G-V6</t>
  </si>
  <si>
    <t>LAU2-L080-G-V6</t>
  </si>
  <si>
    <t>LAU2-L084-G-V6</t>
  </si>
  <si>
    <t>LAU2-L083-G-V6</t>
  </si>
  <si>
    <t>LAU2-L076-G-V6</t>
  </si>
  <si>
    <t>LAU2-L040-G-V6</t>
  </si>
  <si>
    <t>LAU2-L052-G-V6</t>
  </si>
  <si>
    <t>LAU2-L074-G-V6</t>
  </si>
  <si>
    <t>LAU2-L093-G-V6</t>
  </si>
  <si>
    <t>LAU2-L096-G-V6</t>
  </si>
  <si>
    <t>LAU2-L106-G-V6</t>
  </si>
  <si>
    <t>LAU2-L097-G-V6</t>
  </si>
  <si>
    <t>LAU2-L047-G-V6</t>
  </si>
  <si>
    <t>LAU2-L079-G-V6</t>
  </si>
  <si>
    <t>LAU2-L022-G-V6</t>
  </si>
  <si>
    <t>LAU2-L094-G-V6</t>
  </si>
  <si>
    <t>LAU2-L089-G-V6</t>
  </si>
  <si>
    <t>LAU2-L082-G-V6</t>
  </si>
  <si>
    <t>LAU2-L107-G-V6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</si>
</sst>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</font>
    <font>
      <sz val="12"/>
      <color rgb="FF1F1F1F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Arial"/>
      <family val="2"/>
    </font>
    <font>
      <b/>
      <sz val="12"/>
      <color rgb="FF1F1F1F"/>
      <name val="Calibri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46" fontId="10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46" fontId="9" fillId="0" borderId="1" xfId="0" applyNumberFormat="1" applyFont="1" applyBorder="1" applyAlignment="1">
      <alignment horizontal="center" vertical="center"/>
    </xf>
    <xf numFmtId="14" fontId="9" fillId="0" borderId="9" xfId="0" applyNumberFormat="1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/>
    </xf>
    <xf numFmtId="46" fontId="10" fillId="0" borderId="4" xfId="0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6" fontId="9" fillId="0" borderId="1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46" fontId="9" fillId="0" borderId="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6" fontId="9" fillId="0" borderId="7" xfId="0" applyNumberFormat="1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46" fontId="10" fillId="0" borderId="7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46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46" fontId="8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8"/>
  <sheetViews>
    <sheetView tabSelected="1" workbookViewId="0">
      <pane ySplit="1" topLeftCell="A2" activePane="bottomLeft" state="frozen"/>
      <selection pane="bottomLeft" activeCell="I10" sqref="I10"/>
    </sheetView>
  </sheetViews>
  <sheetFormatPr baseColWidth="10" defaultColWidth="9.140625" defaultRowHeight="15" x14ac:dyDescent="0.25"/>
  <cols>
    <col min="1" max="1" width="6.140625" customWidth="1"/>
    <col min="2" max="2" width="5.140625" customWidth="1"/>
    <col min="3" max="3" width="4.5703125" customWidth="1"/>
    <col min="4" max="4" width="12.42578125" customWidth="1"/>
    <col min="5" max="5" width="18.7109375" bestFit="1" customWidth="1"/>
    <col min="6" max="6" width="6.5703125" customWidth="1"/>
    <col min="7" max="7" width="13.7109375" customWidth="1"/>
    <col min="8" max="8" width="26.7109375" customWidth="1"/>
    <col min="9" max="9" width="27.42578125" customWidth="1"/>
    <col min="10" max="10" width="33.85546875" customWidth="1"/>
    <col min="11" max="11" width="9.28515625" customWidth="1"/>
    <col min="12" max="12" width="21.85546875" customWidth="1"/>
    <col min="13" max="13" width="9.5703125" customWidth="1"/>
    <col min="14" max="14" width="28.42578125" customWidth="1"/>
    <col min="15" max="15" width="21.85546875" bestFit="1" customWidth="1"/>
    <col min="16" max="16" width="71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D2" s="2" t="s">
        <v>16</v>
      </c>
      <c r="E2" s="3" t="s">
        <v>17</v>
      </c>
      <c r="F2">
        <f>VALUE(RIGHT(E2,1))</f>
        <v>3</v>
      </c>
      <c r="G2" s="28">
        <v>1</v>
      </c>
      <c r="H2" s="29">
        <v>45831</v>
      </c>
      <c r="I2" s="30">
        <v>0.22291666666666665</v>
      </c>
      <c r="J2" s="29">
        <v>45831</v>
      </c>
      <c r="K2" s="28" t="s">
        <v>227</v>
      </c>
      <c r="L2" s="28" t="s">
        <v>228</v>
      </c>
      <c r="M2" s="28" t="s">
        <v>229</v>
      </c>
      <c r="N2" s="28">
        <v>1</v>
      </c>
      <c r="O2" s="28" t="s">
        <v>230</v>
      </c>
      <c r="P2" s="28" t="s">
        <v>231</v>
      </c>
    </row>
    <row r="3" spans="1:16" ht="15.75" x14ac:dyDescent="0.25">
      <c r="D3" s="4" t="s">
        <v>18</v>
      </c>
      <c r="E3" s="3" t="s">
        <v>19</v>
      </c>
      <c r="F3">
        <f t="shared" ref="F3:F66" si="0">VALUE(RIGHT(E3,1))</f>
        <v>3</v>
      </c>
      <c r="G3" s="28">
        <v>1</v>
      </c>
      <c r="H3" s="29">
        <v>45830</v>
      </c>
      <c r="I3" s="30">
        <v>0.6645833333333333</v>
      </c>
      <c r="J3" s="29">
        <v>45831</v>
      </c>
      <c r="K3" s="28" t="s">
        <v>227</v>
      </c>
      <c r="L3" s="28" t="s">
        <v>228</v>
      </c>
      <c r="M3" s="28" t="s">
        <v>229</v>
      </c>
      <c r="N3" s="28">
        <v>2</v>
      </c>
      <c r="O3" s="28" t="s">
        <v>230</v>
      </c>
      <c r="P3" s="28" t="s">
        <v>231</v>
      </c>
    </row>
    <row r="4" spans="1:16" ht="15.75" x14ac:dyDescent="0.25">
      <c r="D4" s="5" t="s">
        <v>20</v>
      </c>
      <c r="E4" s="3" t="s">
        <v>21</v>
      </c>
      <c r="F4">
        <f t="shared" si="0"/>
        <v>3</v>
      </c>
      <c r="G4" s="31">
        <v>1</v>
      </c>
      <c r="H4" s="32">
        <v>45833</v>
      </c>
      <c r="I4" s="30">
        <v>0.20555555555555557</v>
      </c>
      <c r="J4" s="32">
        <v>45833</v>
      </c>
      <c r="K4" s="28" t="s">
        <v>227</v>
      </c>
      <c r="L4" s="28" t="s">
        <v>228</v>
      </c>
      <c r="M4" s="28" t="s">
        <v>229</v>
      </c>
      <c r="N4" s="31">
        <v>3</v>
      </c>
      <c r="O4" s="28" t="s">
        <v>230</v>
      </c>
      <c r="P4" s="28" t="s">
        <v>231</v>
      </c>
    </row>
    <row r="5" spans="1:16" ht="15.75" x14ac:dyDescent="0.25">
      <c r="D5" s="2" t="s">
        <v>22</v>
      </c>
      <c r="E5" s="6" t="s">
        <v>23</v>
      </c>
      <c r="F5">
        <f t="shared" si="0"/>
        <v>3</v>
      </c>
      <c r="G5" s="28">
        <v>1</v>
      </c>
      <c r="H5" s="29">
        <v>45832</v>
      </c>
      <c r="I5" s="30">
        <v>0.69374999999999998</v>
      </c>
      <c r="J5" s="32">
        <v>45833</v>
      </c>
      <c r="K5" s="28" t="s">
        <v>227</v>
      </c>
      <c r="L5" s="28" t="s">
        <v>228</v>
      </c>
      <c r="M5" s="28" t="s">
        <v>229</v>
      </c>
      <c r="N5" s="28">
        <v>4</v>
      </c>
      <c r="O5" s="28" t="s">
        <v>230</v>
      </c>
      <c r="P5" s="28" t="s">
        <v>231</v>
      </c>
    </row>
    <row r="6" spans="1:16" ht="15.75" x14ac:dyDescent="0.25">
      <c r="D6" s="2" t="s">
        <v>24</v>
      </c>
      <c r="E6" s="6" t="s">
        <v>25</v>
      </c>
      <c r="F6">
        <f t="shared" si="0"/>
        <v>3</v>
      </c>
      <c r="G6" s="28">
        <v>1</v>
      </c>
      <c r="H6" s="29">
        <v>45838</v>
      </c>
      <c r="I6" s="30">
        <v>0.17222222222222225</v>
      </c>
      <c r="J6" s="29">
        <v>45838</v>
      </c>
      <c r="K6" s="28" t="s">
        <v>227</v>
      </c>
      <c r="L6" s="28" t="s">
        <v>228</v>
      </c>
      <c r="M6" s="28" t="s">
        <v>229</v>
      </c>
      <c r="N6" s="28">
        <v>5</v>
      </c>
      <c r="O6" s="28" t="s">
        <v>230</v>
      </c>
      <c r="P6" s="28" t="s">
        <v>231</v>
      </c>
    </row>
    <row r="7" spans="1:16" ht="15.75" x14ac:dyDescent="0.25">
      <c r="D7" s="2" t="s">
        <v>26</v>
      </c>
      <c r="E7" s="6" t="s">
        <v>27</v>
      </c>
      <c r="F7">
        <f t="shared" si="0"/>
        <v>3</v>
      </c>
      <c r="G7" s="28">
        <v>1</v>
      </c>
      <c r="H7" s="29">
        <v>45838</v>
      </c>
      <c r="I7" s="30">
        <v>0.13125000000000001</v>
      </c>
      <c r="J7" s="29">
        <v>45838</v>
      </c>
      <c r="K7" s="28" t="s">
        <v>227</v>
      </c>
      <c r="L7" s="28" t="s">
        <v>228</v>
      </c>
      <c r="M7" s="28" t="s">
        <v>229</v>
      </c>
      <c r="N7" s="28">
        <v>6</v>
      </c>
      <c r="O7" s="28" t="s">
        <v>230</v>
      </c>
      <c r="P7" s="28" t="s">
        <v>231</v>
      </c>
    </row>
    <row r="8" spans="1:16" ht="15.75" x14ac:dyDescent="0.25">
      <c r="D8" s="2" t="s">
        <v>28</v>
      </c>
      <c r="E8" s="6" t="s">
        <v>29</v>
      </c>
      <c r="F8">
        <f t="shared" si="0"/>
        <v>3</v>
      </c>
      <c r="G8" s="28">
        <v>1</v>
      </c>
      <c r="H8" s="29">
        <v>45838</v>
      </c>
      <c r="I8" s="30">
        <v>0.16874999999999998</v>
      </c>
      <c r="J8" s="29">
        <v>45838</v>
      </c>
      <c r="K8" s="28" t="s">
        <v>227</v>
      </c>
      <c r="L8" s="28" t="s">
        <v>228</v>
      </c>
      <c r="M8" s="28" t="s">
        <v>229</v>
      </c>
      <c r="N8" s="28">
        <v>7</v>
      </c>
      <c r="O8" s="28" t="s">
        <v>230</v>
      </c>
      <c r="P8" s="28" t="s">
        <v>231</v>
      </c>
    </row>
    <row r="9" spans="1:16" ht="15.75" x14ac:dyDescent="0.25">
      <c r="D9" s="2" t="s">
        <v>30</v>
      </c>
      <c r="E9" s="6" t="s">
        <v>31</v>
      </c>
      <c r="F9">
        <f t="shared" si="0"/>
        <v>3</v>
      </c>
      <c r="G9" s="28">
        <v>1</v>
      </c>
      <c r="H9" s="29">
        <v>45838</v>
      </c>
      <c r="I9" s="30">
        <v>0.12083333333333333</v>
      </c>
      <c r="J9" s="29">
        <v>45838</v>
      </c>
      <c r="K9" s="28" t="s">
        <v>227</v>
      </c>
      <c r="L9" s="28" t="s">
        <v>228</v>
      </c>
      <c r="M9" s="28" t="s">
        <v>229</v>
      </c>
      <c r="N9" s="28">
        <v>8</v>
      </c>
      <c r="O9" s="28" t="s">
        <v>230</v>
      </c>
      <c r="P9" s="28" t="s">
        <v>231</v>
      </c>
    </row>
    <row r="10" spans="1:16" ht="15.75" x14ac:dyDescent="0.25">
      <c r="D10" s="2" t="s">
        <v>32</v>
      </c>
      <c r="E10" s="6" t="s">
        <v>33</v>
      </c>
      <c r="F10">
        <f t="shared" si="0"/>
        <v>3</v>
      </c>
      <c r="G10" s="28">
        <v>1</v>
      </c>
      <c r="H10" s="29">
        <v>45838</v>
      </c>
      <c r="I10" s="30">
        <v>0.28958333333333336</v>
      </c>
      <c r="J10" s="29">
        <v>45838</v>
      </c>
      <c r="K10" s="28" t="s">
        <v>227</v>
      </c>
      <c r="L10" s="28" t="s">
        <v>228</v>
      </c>
      <c r="M10" s="28" t="s">
        <v>229</v>
      </c>
      <c r="N10" s="28">
        <v>9</v>
      </c>
      <c r="O10" s="28" t="s">
        <v>230</v>
      </c>
      <c r="P10" s="28" t="s">
        <v>231</v>
      </c>
    </row>
    <row r="11" spans="1:16" ht="15.75" x14ac:dyDescent="0.25">
      <c r="D11" s="2" t="s">
        <v>34</v>
      </c>
      <c r="E11" s="6" t="s">
        <v>35</v>
      </c>
      <c r="F11">
        <f t="shared" si="0"/>
        <v>3</v>
      </c>
      <c r="G11" s="28">
        <v>1</v>
      </c>
      <c r="H11" s="29">
        <v>45837</v>
      </c>
      <c r="I11" s="30">
        <v>0.74722222222222223</v>
      </c>
      <c r="J11" s="29">
        <v>45838</v>
      </c>
      <c r="K11" s="28" t="s">
        <v>227</v>
      </c>
      <c r="L11" s="28" t="s">
        <v>228</v>
      </c>
      <c r="M11" s="28" t="s">
        <v>229</v>
      </c>
      <c r="N11" s="28">
        <v>10</v>
      </c>
      <c r="O11" s="28" t="s">
        <v>230</v>
      </c>
      <c r="P11" s="28" t="s">
        <v>231</v>
      </c>
    </row>
    <row r="12" spans="1:16" ht="15.75" x14ac:dyDescent="0.25">
      <c r="D12" s="2" t="s">
        <v>36</v>
      </c>
      <c r="E12" s="6" t="s">
        <v>37</v>
      </c>
      <c r="F12">
        <f t="shared" si="0"/>
        <v>3</v>
      </c>
      <c r="G12" s="28">
        <v>1</v>
      </c>
      <c r="H12" s="29">
        <v>45838</v>
      </c>
      <c r="I12" s="30">
        <v>0.24722222222222223</v>
      </c>
      <c r="J12" s="29">
        <v>45838</v>
      </c>
      <c r="K12" s="28" t="s">
        <v>227</v>
      </c>
      <c r="L12" s="28" t="s">
        <v>228</v>
      </c>
      <c r="M12" s="28" t="s">
        <v>229</v>
      </c>
      <c r="N12" s="28">
        <v>11</v>
      </c>
      <c r="O12" s="28" t="s">
        <v>230</v>
      </c>
      <c r="P12" s="28" t="s">
        <v>231</v>
      </c>
    </row>
    <row r="13" spans="1:16" ht="15.75" x14ac:dyDescent="0.25">
      <c r="D13" s="2" t="s">
        <v>38</v>
      </c>
      <c r="E13" s="6" t="s">
        <v>39</v>
      </c>
      <c r="F13">
        <f t="shared" si="0"/>
        <v>3</v>
      </c>
      <c r="G13" s="28">
        <v>1</v>
      </c>
      <c r="H13" s="29">
        <v>45838</v>
      </c>
      <c r="I13" s="30">
        <v>0.68194444444444446</v>
      </c>
      <c r="J13" s="29">
        <v>45839</v>
      </c>
      <c r="K13" s="28" t="s">
        <v>227</v>
      </c>
      <c r="L13" s="28" t="s">
        <v>228</v>
      </c>
      <c r="M13" s="28" t="s">
        <v>229</v>
      </c>
      <c r="N13" s="28">
        <v>12</v>
      </c>
      <c r="O13" s="28" t="s">
        <v>230</v>
      </c>
      <c r="P13" s="28" t="s">
        <v>231</v>
      </c>
    </row>
    <row r="14" spans="1:16" ht="15.75" x14ac:dyDescent="0.25">
      <c r="D14" s="7" t="s">
        <v>40</v>
      </c>
      <c r="E14" s="6" t="s">
        <v>41</v>
      </c>
      <c r="F14">
        <f t="shared" si="0"/>
        <v>3</v>
      </c>
      <c r="G14" s="28">
        <v>1</v>
      </c>
      <c r="H14" s="29">
        <v>45838</v>
      </c>
      <c r="I14" s="30">
        <v>0.61111111111111105</v>
      </c>
      <c r="J14" s="29">
        <v>45839</v>
      </c>
      <c r="K14" s="28" t="s">
        <v>227</v>
      </c>
      <c r="L14" s="28" t="s">
        <v>228</v>
      </c>
      <c r="M14" s="28" t="s">
        <v>229</v>
      </c>
      <c r="N14" s="28">
        <v>13</v>
      </c>
      <c r="O14" s="28" t="s">
        <v>230</v>
      </c>
      <c r="P14" s="28" t="s">
        <v>231</v>
      </c>
    </row>
    <row r="15" spans="1:16" ht="15.75" x14ac:dyDescent="0.25">
      <c r="D15" s="4" t="s">
        <v>42</v>
      </c>
      <c r="E15" s="6" t="s">
        <v>43</v>
      </c>
      <c r="F15">
        <f t="shared" si="0"/>
        <v>3</v>
      </c>
      <c r="G15" s="28">
        <v>1</v>
      </c>
      <c r="H15" s="29">
        <v>45839</v>
      </c>
      <c r="I15" s="30">
        <v>0.12083333333333333</v>
      </c>
      <c r="J15" s="29">
        <v>45839</v>
      </c>
      <c r="K15" s="28" t="s">
        <v>227</v>
      </c>
      <c r="L15" s="28" t="s">
        <v>228</v>
      </c>
      <c r="M15" s="28" t="s">
        <v>229</v>
      </c>
      <c r="N15" s="28">
        <v>14</v>
      </c>
      <c r="O15" s="28" t="s">
        <v>230</v>
      </c>
      <c r="P15" s="28" t="s">
        <v>231</v>
      </c>
    </row>
    <row r="16" spans="1:16" ht="15.75" x14ac:dyDescent="0.25">
      <c r="D16" s="4" t="s">
        <v>44</v>
      </c>
      <c r="E16" s="6" t="s">
        <v>45</v>
      </c>
      <c r="F16">
        <f t="shared" si="0"/>
        <v>3</v>
      </c>
      <c r="G16" s="28">
        <v>1</v>
      </c>
      <c r="H16" s="29">
        <v>45839</v>
      </c>
      <c r="I16" s="33">
        <v>1.2256944444444444</v>
      </c>
      <c r="J16" s="29">
        <v>45840</v>
      </c>
      <c r="K16" s="28" t="s">
        <v>227</v>
      </c>
      <c r="L16" s="28" t="s">
        <v>228</v>
      </c>
      <c r="M16" s="28" t="s">
        <v>229</v>
      </c>
      <c r="N16" s="28">
        <v>15</v>
      </c>
      <c r="O16" s="28" t="s">
        <v>230</v>
      </c>
      <c r="P16" s="28" t="s">
        <v>231</v>
      </c>
    </row>
    <row r="17" spans="4:16" ht="15.75" x14ac:dyDescent="0.25">
      <c r="D17" s="2" t="s">
        <v>46</v>
      </c>
      <c r="E17" s="6" t="s">
        <v>47</v>
      </c>
      <c r="F17">
        <f t="shared" si="0"/>
        <v>3</v>
      </c>
      <c r="G17" s="28">
        <v>1</v>
      </c>
      <c r="H17" s="29">
        <v>45841</v>
      </c>
      <c r="I17" s="30">
        <v>0.11041666666666666</v>
      </c>
      <c r="J17" s="29">
        <v>45841</v>
      </c>
      <c r="K17" s="28" t="s">
        <v>227</v>
      </c>
      <c r="L17" s="28" t="s">
        <v>228</v>
      </c>
      <c r="M17" s="28" t="s">
        <v>229</v>
      </c>
      <c r="N17" s="28">
        <v>16</v>
      </c>
      <c r="O17" s="28" t="s">
        <v>230</v>
      </c>
      <c r="P17" s="28" t="s">
        <v>231</v>
      </c>
    </row>
    <row r="18" spans="4:16" ht="15.75" x14ac:dyDescent="0.25">
      <c r="D18" s="2" t="s">
        <v>48</v>
      </c>
      <c r="E18" s="6" t="s">
        <v>49</v>
      </c>
      <c r="F18">
        <f t="shared" si="0"/>
        <v>3</v>
      </c>
      <c r="G18" s="28">
        <v>1</v>
      </c>
      <c r="H18" s="29">
        <v>45841</v>
      </c>
      <c r="I18" s="30">
        <v>6.1805555555555558E-2</v>
      </c>
      <c r="J18" s="29">
        <v>45841</v>
      </c>
      <c r="K18" s="28" t="s">
        <v>227</v>
      </c>
      <c r="L18" s="28" t="s">
        <v>228</v>
      </c>
      <c r="M18" s="28" t="s">
        <v>229</v>
      </c>
      <c r="N18" s="28">
        <v>17</v>
      </c>
      <c r="O18" s="28" t="s">
        <v>230</v>
      </c>
      <c r="P18" s="28" t="s">
        <v>231</v>
      </c>
    </row>
    <row r="19" spans="4:16" ht="15.75" x14ac:dyDescent="0.25">
      <c r="D19" s="2" t="s">
        <v>50</v>
      </c>
      <c r="E19" s="6" t="s">
        <v>51</v>
      </c>
      <c r="F19">
        <f t="shared" si="0"/>
        <v>3</v>
      </c>
      <c r="G19" s="28">
        <v>1</v>
      </c>
      <c r="H19" s="29">
        <v>45841</v>
      </c>
      <c r="I19" s="30">
        <v>3.472222222222222E-3</v>
      </c>
      <c r="J19" s="29">
        <v>45841</v>
      </c>
      <c r="K19" s="28" t="s">
        <v>227</v>
      </c>
      <c r="L19" s="28" t="s">
        <v>228</v>
      </c>
      <c r="M19" s="28" t="s">
        <v>229</v>
      </c>
      <c r="N19" s="28">
        <v>18</v>
      </c>
      <c r="O19" s="28" t="s">
        <v>230</v>
      </c>
      <c r="P19" s="28" t="s">
        <v>231</v>
      </c>
    </row>
    <row r="20" spans="4:16" ht="15.75" x14ac:dyDescent="0.25">
      <c r="D20" s="2" t="s">
        <v>52</v>
      </c>
      <c r="E20" s="6" t="s">
        <v>53</v>
      </c>
      <c r="F20">
        <f t="shared" si="0"/>
        <v>3</v>
      </c>
      <c r="G20" s="28">
        <v>1</v>
      </c>
      <c r="H20" s="29">
        <v>45841</v>
      </c>
      <c r="I20" s="30">
        <v>4.4444444444444446E-2</v>
      </c>
      <c r="J20" s="29">
        <v>45841</v>
      </c>
      <c r="K20" s="28" t="s">
        <v>227</v>
      </c>
      <c r="L20" s="28" t="s">
        <v>228</v>
      </c>
      <c r="M20" s="28" t="s">
        <v>229</v>
      </c>
      <c r="N20" s="28">
        <v>19</v>
      </c>
      <c r="O20" s="28" t="s">
        <v>230</v>
      </c>
      <c r="P20" s="28" t="s">
        <v>231</v>
      </c>
    </row>
    <row r="21" spans="4:16" ht="15.75" x14ac:dyDescent="0.25">
      <c r="D21" s="2" t="s">
        <v>54</v>
      </c>
      <c r="E21" s="6" t="s">
        <v>55</v>
      </c>
      <c r="F21">
        <f t="shared" si="0"/>
        <v>3</v>
      </c>
      <c r="G21" s="28">
        <v>1</v>
      </c>
      <c r="H21" s="29">
        <v>45840</v>
      </c>
      <c r="I21" s="30">
        <v>0.72083333333333333</v>
      </c>
      <c r="J21" s="29">
        <v>45841</v>
      </c>
      <c r="K21" s="28" t="s">
        <v>227</v>
      </c>
      <c r="L21" s="28" t="s">
        <v>228</v>
      </c>
      <c r="M21" s="28" t="s">
        <v>229</v>
      </c>
      <c r="N21" s="28">
        <v>20</v>
      </c>
      <c r="O21" s="28" t="s">
        <v>230</v>
      </c>
      <c r="P21" s="28" t="s">
        <v>231</v>
      </c>
    </row>
    <row r="22" spans="4:16" ht="15.75" x14ac:dyDescent="0.25">
      <c r="D22" s="7" t="s">
        <v>56</v>
      </c>
      <c r="E22" s="6" t="s">
        <v>57</v>
      </c>
      <c r="F22">
        <f t="shared" si="0"/>
        <v>3</v>
      </c>
      <c r="G22" s="28">
        <v>1</v>
      </c>
      <c r="H22" s="29">
        <v>45841</v>
      </c>
      <c r="I22" s="30">
        <v>0.53055555555555556</v>
      </c>
      <c r="J22" s="29">
        <v>45842</v>
      </c>
      <c r="K22" s="28" t="s">
        <v>227</v>
      </c>
      <c r="L22" s="28" t="s">
        <v>228</v>
      </c>
      <c r="M22" s="28" t="s">
        <v>229</v>
      </c>
      <c r="N22" s="28">
        <v>21</v>
      </c>
      <c r="O22" s="28" t="s">
        <v>230</v>
      </c>
      <c r="P22" s="28" t="s">
        <v>231</v>
      </c>
    </row>
    <row r="23" spans="4:16" ht="15.75" x14ac:dyDescent="0.25">
      <c r="D23" s="8" t="s">
        <v>58</v>
      </c>
      <c r="E23" s="6" t="s">
        <v>59</v>
      </c>
      <c r="F23">
        <f t="shared" si="0"/>
        <v>3</v>
      </c>
      <c r="G23" s="28">
        <v>1</v>
      </c>
      <c r="H23" s="34">
        <v>45843</v>
      </c>
      <c r="I23" s="30">
        <v>1.60625</v>
      </c>
      <c r="J23" s="35">
        <v>45845</v>
      </c>
      <c r="K23" s="28" t="s">
        <v>227</v>
      </c>
      <c r="L23" s="28" t="s">
        <v>228</v>
      </c>
      <c r="M23" s="28" t="s">
        <v>229</v>
      </c>
      <c r="N23" s="28">
        <v>22</v>
      </c>
      <c r="O23" s="28" t="s">
        <v>230</v>
      </c>
      <c r="P23" s="28" t="s">
        <v>231</v>
      </c>
    </row>
    <row r="24" spans="4:16" ht="15.75" x14ac:dyDescent="0.25">
      <c r="D24" s="8" t="s">
        <v>60</v>
      </c>
      <c r="E24" s="6" t="s">
        <v>61</v>
      </c>
      <c r="F24">
        <f t="shared" si="0"/>
        <v>3</v>
      </c>
      <c r="G24" s="28">
        <v>1</v>
      </c>
      <c r="H24" s="34">
        <v>45843</v>
      </c>
      <c r="I24" s="30">
        <v>1.5826388888888889</v>
      </c>
      <c r="J24" s="35">
        <v>45845</v>
      </c>
      <c r="K24" s="28" t="s">
        <v>227</v>
      </c>
      <c r="L24" s="28" t="s">
        <v>228</v>
      </c>
      <c r="M24" s="28" t="s">
        <v>229</v>
      </c>
      <c r="N24" s="28">
        <v>23</v>
      </c>
      <c r="O24" s="28" t="s">
        <v>230</v>
      </c>
      <c r="P24" s="28" t="s">
        <v>231</v>
      </c>
    </row>
    <row r="25" spans="4:16" ht="15.75" x14ac:dyDescent="0.25">
      <c r="D25" s="8" t="s">
        <v>62</v>
      </c>
      <c r="E25" s="6" t="s">
        <v>63</v>
      </c>
      <c r="F25">
        <f t="shared" si="0"/>
        <v>3</v>
      </c>
      <c r="G25" s="28">
        <v>1</v>
      </c>
      <c r="H25" s="34">
        <v>45845</v>
      </c>
      <c r="I25" s="30">
        <v>0.12916666666666668</v>
      </c>
      <c r="J25" s="35">
        <v>45845</v>
      </c>
      <c r="K25" s="28" t="s">
        <v>227</v>
      </c>
      <c r="L25" s="28" t="s">
        <v>228</v>
      </c>
      <c r="M25" s="28" t="s">
        <v>229</v>
      </c>
      <c r="N25" s="28">
        <v>24</v>
      </c>
      <c r="O25" s="28" t="s">
        <v>230</v>
      </c>
      <c r="P25" s="28" t="s">
        <v>231</v>
      </c>
    </row>
    <row r="26" spans="4:16" ht="15.75" x14ac:dyDescent="0.25">
      <c r="D26" s="8" t="s">
        <v>64</v>
      </c>
      <c r="E26" s="6" t="s">
        <v>65</v>
      </c>
      <c r="F26">
        <f t="shared" si="0"/>
        <v>3</v>
      </c>
      <c r="G26" s="28">
        <v>1</v>
      </c>
      <c r="H26" s="34">
        <v>45845</v>
      </c>
      <c r="I26" s="30">
        <v>7.6388888888888895E-2</v>
      </c>
      <c r="J26" s="35">
        <v>45845</v>
      </c>
      <c r="K26" s="28" t="s">
        <v>227</v>
      </c>
      <c r="L26" s="28" t="s">
        <v>228</v>
      </c>
      <c r="M26" s="28" t="s">
        <v>229</v>
      </c>
      <c r="N26" s="28">
        <v>25</v>
      </c>
      <c r="O26" s="28" t="s">
        <v>230</v>
      </c>
      <c r="P26" s="28" t="s">
        <v>231</v>
      </c>
    </row>
    <row r="27" spans="4:16" ht="15.75" x14ac:dyDescent="0.25">
      <c r="D27" s="8" t="s">
        <v>66</v>
      </c>
      <c r="E27" s="6" t="s">
        <v>67</v>
      </c>
      <c r="F27">
        <f t="shared" si="0"/>
        <v>3</v>
      </c>
      <c r="G27" s="28">
        <v>1</v>
      </c>
      <c r="H27" s="34">
        <v>45845</v>
      </c>
      <c r="I27" s="30">
        <v>2.0833333333333333E-3</v>
      </c>
      <c r="J27" s="35">
        <v>45845</v>
      </c>
      <c r="K27" s="28" t="s">
        <v>227</v>
      </c>
      <c r="L27" s="28" t="s">
        <v>228</v>
      </c>
      <c r="M27" s="28" t="s">
        <v>229</v>
      </c>
      <c r="N27" s="28">
        <v>26</v>
      </c>
      <c r="O27" s="28" t="s">
        <v>230</v>
      </c>
      <c r="P27" s="28" t="s">
        <v>231</v>
      </c>
    </row>
    <row r="28" spans="4:16" ht="15.75" x14ac:dyDescent="0.25">
      <c r="D28" s="8" t="s">
        <v>68</v>
      </c>
      <c r="E28" s="6" t="s">
        <v>69</v>
      </c>
      <c r="F28">
        <f t="shared" si="0"/>
        <v>3</v>
      </c>
      <c r="G28" s="28">
        <v>1</v>
      </c>
      <c r="H28" s="34">
        <v>45844</v>
      </c>
      <c r="I28" s="30">
        <v>0.65972222222222221</v>
      </c>
      <c r="J28" s="35">
        <v>45845</v>
      </c>
      <c r="K28" s="28" t="s">
        <v>227</v>
      </c>
      <c r="L28" s="28" t="s">
        <v>228</v>
      </c>
      <c r="M28" s="28" t="s">
        <v>229</v>
      </c>
      <c r="N28" s="28">
        <v>27</v>
      </c>
      <c r="O28" s="28" t="s">
        <v>230</v>
      </c>
      <c r="P28" s="28" t="s">
        <v>231</v>
      </c>
    </row>
    <row r="29" spans="4:16" ht="15.75" x14ac:dyDescent="0.25">
      <c r="D29" s="9" t="s">
        <v>70</v>
      </c>
      <c r="E29" s="10" t="s">
        <v>71</v>
      </c>
      <c r="F29">
        <f t="shared" si="0"/>
        <v>3</v>
      </c>
      <c r="G29" s="36">
        <v>1</v>
      </c>
      <c r="H29" s="37">
        <v>45844</v>
      </c>
      <c r="I29" s="38">
        <v>0.84236111111111101</v>
      </c>
      <c r="J29" s="39">
        <v>45845</v>
      </c>
      <c r="K29" s="36" t="s">
        <v>227</v>
      </c>
      <c r="L29" s="36" t="s">
        <v>228</v>
      </c>
      <c r="M29" s="28" t="s">
        <v>229</v>
      </c>
      <c r="N29" s="36">
        <v>28</v>
      </c>
      <c r="O29" s="36" t="s">
        <v>230</v>
      </c>
      <c r="P29" s="36" t="s">
        <v>231</v>
      </c>
    </row>
    <row r="30" spans="4:16" ht="15.75" x14ac:dyDescent="0.25">
      <c r="D30" s="9" t="s">
        <v>72</v>
      </c>
      <c r="E30" s="10" t="s">
        <v>73</v>
      </c>
      <c r="F30">
        <f t="shared" si="0"/>
        <v>3</v>
      </c>
      <c r="G30" s="36">
        <v>1</v>
      </c>
      <c r="H30" s="37">
        <v>45845</v>
      </c>
      <c r="I30" s="38">
        <v>0.51597222222222217</v>
      </c>
      <c r="J30" s="39">
        <v>45846</v>
      </c>
      <c r="K30" s="36" t="s">
        <v>227</v>
      </c>
      <c r="L30" s="36" t="s">
        <v>228</v>
      </c>
      <c r="M30" s="28" t="s">
        <v>229</v>
      </c>
      <c r="N30" s="36">
        <v>29</v>
      </c>
      <c r="O30" s="36" t="s">
        <v>230</v>
      </c>
      <c r="P30" s="36" t="s">
        <v>231</v>
      </c>
    </row>
    <row r="31" spans="4:16" ht="15.75" x14ac:dyDescent="0.25">
      <c r="D31" s="9" t="s">
        <v>74</v>
      </c>
      <c r="E31" s="10" t="s">
        <v>75</v>
      </c>
      <c r="F31">
        <f t="shared" si="0"/>
        <v>3</v>
      </c>
      <c r="G31" s="36">
        <v>1</v>
      </c>
      <c r="H31" s="37">
        <v>45846</v>
      </c>
      <c r="I31" s="38">
        <v>8.7500000000000008E-2</v>
      </c>
      <c r="J31" s="39">
        <v>45846</v>
      </c>
      <c r="K31" s="36" t="s">
        <v>227</v>
      </c>
      <c r="L31" s="36" t="s">
        <v>228</v>
      </c>
      <c r="M31" s="28" t="s">
        <v>229</v>
      </c>
      <c r="N31" s="36">
        <v>30</v>
      </c>
      <c r="O31" s="36" t="s">
        <v>230</v>
      </c>
      <c r="P31" s="36" t="s">
        <v>231</v>
      </c>
    </row>
    <row r="32" spans="4:16" ht="15.75" x14ac:dyDescent="0.25">
      <c r="D32" s="9" t="s">
        <v>76</v>
      </c>
      <c r="E32" s="10" t="s">
        <v>77</v>
      </c>
      <c r="F32">
        <f t="shared" si="0"/>
        <v>3</v>
      </c>
      <c r="G32" s="36">
        <v>1</v>
      </c>
      <c r="H32" s="37">
        <v>45845</v>
      </c>
      <c r="I32" s="38">
        <v>0.66527777777777775</v>
      </c>
      <c r="J32" s="39">
        <v>45846</v>
      </c>
      <c r="K32" s="36" t="s">
        <v>227</v>
      </c>
      <c r="L32" s="36" t="s">
        <v>228</v>
      </c>
      <c r="M32" s="28" t="s">
        <v>229</v>
      </c>
      <c r="N32" s="36">
        <v>31</v>
      </c>
      <c r="O32" s="36" t="s">
        <v>230</v>
      </c>
      <c r="P32" s="36" t="s">
        <v>231</v>
      </c>
    </row>
    <row r="33" spans="4:16" ht="15.75" x14ac:dyDescent="0.25">
      <c r="D33" s="9" t="s">
        <v>78</v>
      </c>
      <c r="E33" s="10" t="s">
        <v>79</v>
      </c>
      <c r="F33">
        <f t="shared" si="0"/>
        <v>3</v>
      </c>
      <c r="G33" s="36">
        <v>1</v>
      </c>
      <c r="H33" s="37">
        <v>45845</v>
      </c>
      <c r="I33" s="38">
        <v>0.91180555555555554</v>
      </c>
      <c r="J33" s="39">
        <v>45846</v>
      </c>
      <c r="K33" s="36" t="s">
        <v>227</v>
      </c>
      <c r="L33" s="36" t="s">
        <v>228</v>
      </c>
      <c r="M33" s="28" t="s">
        <v>229</v>
      </c>
      <c r="N33" s="36">
        <v>32</v>
      </c>
      <c r="O33" s="36" t="s">
        <v>230</v>
      </c>
      <c r="P33" s="36" t="s">
        <v>231</v>
      </c>
    </row>
    <row r="34" spans="4:16" ht="15.75" x14ac:dyDescent="0.25">
      <c r="D34" s="9" t="s">
        <v>80</v>
      </c>
      <c r="E34" s="10" t="s">
        <v>81</v>
      </c>
      <c r="F34">
        <f t="shared" si="0"/>
        <v>3</v>
      </c>
      <c r="G34" s="36">
        <v>1</v>
      </c>
      <c r="H34" s="37">
        <v>45846</v>
      </c>
      <c r="I34" s="38">
        <v>0.21527777777777779</v>
      </c>
      <c r="J34" s="39">
        <v>45846</v>
      </c>
      <c r="K34" s="36" t="s">
        <v>227</v>
      </c>
      <c r="L34" s="36" t="s">
        <v>228</v>
      </c>
      <c r="M34" s="28" t="s">
        <v>229</v>
      </c>
      <c r="N34" s="36">
        <v>33</v>
      </c>
      <c r="O34" s="36" t="s">
        <v>230</v>
      </c>
      <c r="P34" s="36" t="s">
        <v>232</v>
      </c>
    </row>
    <row r="35" spans="4:16" ht="15.75" x14ac:dyDescent="0.25">
      <c r="D35" s="9" t="s">
        <v>82</v>
      </c>
      <c r="E35" s="10" t="s">
        <v>83</v>
      </c>
      <c r="F35">
        <f t="shared" si="0"/>
        <v>3</v>
      </c>
      <c r="G35" s="36">
        <v>1</v>
      </c>
      <c r="H35" s="37">
        <v>45845</v>
      </c>
      <c r="I35" s="38">
        <v>0.81319444444444444</v>
      </c>
      <c r="J35" s="39">
        <v>45846</v>
      </c>
      <c r="K35" s="36" t="s">
        <v>227</v>
      </c>
      <c r="L35" s="36" t="s">
        <v>228</v>
      </c>
      <c r="M35" s="28" t="s">
        <v>229</v>
      </c>
      <c r="N35" s="36">
        <v>34</v>
      </c>
      <c r="O35" s="36" t="s">
        <v>230</v>
      </c>
      <c r="P35" s="36" t="s">
        <v>231</v>
      </c>
    </row>
    <row r="36" spans="4:16" ht="15.75" x14ac:dyDescent="0.25">
      <c r="D36" s="9" t="s">
        <v>84</v>
      </c>
      <c r="E36" s="10" t="s">
        <v>85</v>
      </c>
      <c r="F36">
        <f t="shared" si="0"/>
        <v>3</v>
      </c>
      <c r="G36" s="36">
        <v>1</v>
      </c>
      <c r="H36" s="37">
        <v>45847</v>
      </c>
      <c r="I36" s="38">
        <v>4.5138888888888888E-2</v>
      </c>
      <c r="J36" s="37">
        <v>45847</v>
      </c>
      <c r="K36" s="36" t="s">
        <v>227</v>
      </c>
      <c r="L36" s="36" t="s">
        <v>228</v>
      </c>
      <c r="M36" s="28" t="s">
        <v>229</v>
      </c>
      <c r="N36" s="36">
        <v>35</v>
      </c>
      <c r="O36" s="36" t="s">
        <v>230</v>
      </c>
      <c r="P36" s="36" t="s">
        <v>233</v>
      </c>
    </row>
    <row r="37" spans="4:16" ht="15.75" x14ac:dyDescent="0.25">
      <c r="D37" s="9" t="s">
        <v>86</v>
      </c>
      <c r="E37" s="10" t="s">
        <v>87</v>
      </c>
      <c r="F37">
        <f t="shared" si="0"/>
        <v>3</v>
      </c>
      <c r="G37" s="36">
        <v>1</v>
      </c>
      <c r="H37" s="37">
        <v>45847</v>
      </c>
      <c r="I37" s="38">
        <v>9.7222222222222224E-2</v>
      </c>
      <c r="J37" s="37">
        <v>45847</v>
      </c>
      <c r="K37" s="36" t="s">
        <v>227</v>
      </c>
      <c r="L37" s="36" t="s">
        <v>228</v>
      </c>
      <c r="M37" s="28" t="s">
        <v>229</v>
      </c>
      <c r="N37" s="36">
        <v>36</v>
      </c>
      <c r="O37" s="36" t="s">
        <v>230</v>
      </c>
      <c r="P37" s="36" t="s">
        <v>234</v>
      </c>
    </row>
    <row r="38" spans="4:16" ht="15.75" x14ac:dyDescent="0.25">
      <c r="D38" s="9" t="s">
        <v>88</v>
      </c>
      <c r="E38" s="10" t="s">
        <v>89</v>
      </c>
      <c r="F38">
        <f t="shared" si="0"/>
        <v>3</v>
      </c>
      <c r="G38" s="36">
        <v>1</v>
      </c>
      <c r="H38" s="39">
        <v>45846</v>
      </c>
      <c r="I38" s="38">
        <v>1.3270833333333334</v>
      </c>
      <c r="J38" s="37">
        <v>45847</v>
      </c>
      <c r="K38" s="36" t="s">
        <v>227</v>
      </c>
      <c r="L38" s="36" t="s">
        <v>228</v>
      </c>
      <c r="M38" s="28" t="s">
        <v>229</v>
      </c>
      <c r="N38" s="36">
        <v>37</v>
      </c>
      <c r="O38" s="36" t="s">
        <v>230</v>
      </c>
      <c r="P38" s="36" t="s">
        <v>231</v>
      </c>
    </row>
    <row r="39" spans="4:16" ht="15.75" x14ac:dyDescent="0.25">
      <c r="D39" s="9" t="s">
        <v>90</v>
      </c>
      <c r="E39" s="10" t="s">
        <v>91</v>
      </c>
      <c r="F39">
        <f t="shared" si="0"/>
        <v>3</v>
      </c>
      <c r="G39" s="36">
        <v>1</v>
      </c>
      <c r="H39" s="37">
        <v>45847</v>
      </c>
      <c r="I39" s="38">
        <v>0.53333333333333333</v>
      </c>
      <c r="J39" s="37">
        <v>45848</v>
      </c>
      <c r="K39" s="36" t="s">
        <v>227</v>
      </c>
      <c r="L39" s="36" t="s">
        <v>228</v>
      </c>
      <c r="M39" s="28" t="s">
        <v>229</v>
      </c>
      <c r="N39" s="36">
        <v>38</v>
      </c>
      <c r="O39" s="36" t="s">
        <v>230</v>
      </c>
      <c r="P39" s="36" t="s">
        <v>231</v>
      </c>
    </row>
    <row r="40" spans="4:16" ht="15.75" x14ac:dyDescent="0.25">
      <c r="D40" s="9" t="s">
        <v>92</v>
      </c>
      <c r="E40" s="10" t="s">
        <v>93</v>
      </c>
      <c r="F40">
        <f t="shared" si="0"/>
        <v>3</v>
      </c>
      <c r="G40" s="36">
        <v>1</v>
      </c>
      <c r="H40" s="37">
        <v>45849</v>
      </c>
      <c r="I40" s="38">
        <v>5.0694444444444452E-2</v>
      </c>
      <c r="J40" s="37">
        <v>45849</v>
      </c>
      <c r="K40" s="36" t="s">
        <v>227</v>
      </c>
      <c r="L40" s="36" t="s">
        <v>228</v>
      </c>
      <c r="M40" s="28" t="s">
        <v>229</v>
      </c>
      <c r="N40" s="36">
        <v>39</v>
      </c>
      <c r="O40" s="36" t="s">
        <v>230</v>
      </c>
      <c r="P40" s="36" t="s">
        <v>231</v>
      </c>
    </row>
    <row r="41" spans="4:16" ht="15.75" x14ac:dyDescent="0.25">
      <c r="D41" s="9" t="s">
        <v>94</v>
      </c>
      <c r="E41" s="10" t="s">
        <v>95</v>
      </c>
      <c r="F41">
        <f t="shared" si="0"/>
        <v>3</v>
      </c>
      <c r="G41" s="36">
        <v>1</v>
      </c>
      <c r="H41" s="37">
        <v>45849</v>
      </c>
      <c r="I41" s="38">
        <v>7.8472222222222221E-2</v>
      </c>
      <c r="J41" s="37">
        <v>45849</v>
      </c>
      <c r="K41" s="36" t="s">
        <v>227</v>
      </c>
      <c r="L41" s="36" t="s">
        <v>228</v>
      </c>
      <c r="M41" s="28" t="s">
        <v>229</v>
      </c>
      <c r="N41" s="36">
        <v>40</v>
      </c>
      <c r="O41" s="36" t="s">
        <v>230</v>
      </c>
      <c r="P41" s="36" t="s">
        <v>231</v>
      </c>
    </row>
    <row r="42" spans="4:16" ht="15.75" x14ac:dyDescent="0.25">
      <c r="D42" s="9" t="s">
        <v>96</v>
      </c>
      <c r="E42" s="10" t="s">
        <v>97</v>
      </c>
      <c r="F42">
        <f t="shared" si="0"/>
        <v>3</v>
      </c>
      <c r="G42" s="36">
        <v>1</v>
      </c>
      <c r="H42" s="37">
        <v>45852.424305555556</v>
      </c>
      <c r="I42" s="38">
        <v>1.7361111111111112E-2</v>
      </c>
      <c r="J42" s="37">
        <v>45853.441666666666</v>
      </c>
      <c r="K42" s="36" t="s">
        <v>227</v>
      </c>
      <c r="L42" s="36" t="s">
        <v>228</v>
      </c>
      <c r="M42" s="28" t="s">
        <v>229</v>
      </c>
      <c r="N42" s="36">
        <v>41</v>
      </c>
      <c r="O42" s="36" t="s">
        <v>230</v>
      </c>
      <c r="P42" s="36" t="s">
        <v>231</v>
      </c>
    </row>
    <row r="43" spans="4:16" ht="15.75" x14ac:dyDescent="0.25">
      <c r="D43" s="9" t="s">
        <v>98</v>
      </c>
      <c r="E43" s="10" t="s">
        <v>99</v>
      </c>
      <c r="F43">
        <f t="shared" si="0"/>
        <v>3</v>
      </c>
      <c r="G43" s="36">
        <v>1</v>
      </c>
      <c r="H43" s="37">
        <v>45850.96597222222</v>
      </c>
      <c r="I43" s="38">
        <v>1.4743055555555555</v>
      </c>
      <c r="J43" s="37">
        <v>45853.441666666666</v>
      </c>
      <c r="K43" s="36" t="s">
        <v>227</v>
      </c>
      <c r="L43" s="36" t="s">
        <v>228</v>
      </c>
      <c r="M43" s="28" t="s">
        <v>229</v>
      </c>
      <c r="N43" s="36">
        <v>42</v>
      </c>
      <c r="O43" s="36" t="s">
        <v>230</v>
      </c>
      <c r="P43" s="36" t="s">
        <v>231</v>
      </c>
    </row>
    <row r="44" spans="4:16" ht="15.75" x14ac:dyDescent="0.25">
      <c r="D44" s="9" t="s">
        <v>100</v>
      </c>
      <c r="E44" s="10" t="s">
        <v>101</v>
      </c>
      <c r="F44">
        <f t="shared" si="0"/>
        <v>3</v>
      </c>
      <c r="G44" s="36">
        <v>1</v>
      </c>
      <c r="H44" s="37">
        <v>45852.475694444445</v>
      </c>
      <c r="I44" s="38">
        <v>9.7222222222222224E-3</v>
      </c>
      <c r="J44" s="37">
        <v>45853.441666666666</v>
      </c>
      <c r="K44" s="36" t="s">
        <v>227</v>
      </c>
      <c r="L44" s="36" t="s">
        <v>228</v>
      </c>
      <c r="M44" s="28" t="s">
        <v>229</v>
      </c>
      <c r="N44" s="36">
        <v>43</v>
      </c>
      <c r="O44" s="36" t="s">
        <v>230</v>
      </c>
      <c r="P44" s="36" t="s">
        <v>231</v>
      </c>
    </row>
    <row r="45" spans="4:16" ht="15.75" x14ac:dyDescent="0.25">
      <c r="D45" s="9" t="s">
        <v>102</v>
      </c>
      <c r="E45" s="10" t="s">
        <v>103</v>
      </c>
      <c r="F45">
        <f t="shared" si="0"/>
        <v>3</v>
      </c>
      <c r="G45" s="36">
        <v>1</v>
      </c>
      <c r="H45" s="37">
        <v>45851.78125</v>
      </c>
      <c r="I45" s="38">
        <v>0.7402777777777777</v>
      </c>
      <c r="J45" s="37">
        <v>45853.441666666666</v>
      </c>
      <c r="K45" s="36" t="s">
        <v>227</v>
      </c>
      <c r="L45" s="36" t="s">
        <v>228</v>
      </c>
      <c r="M45" s="28" t="s">
        <v>229</v>
      </c>
      <c r="N45" s="36">
        <v>44</v>
      </c>
      <c r="O45" s="36" t="s">
        <v>230</v>
      </c>
      <c r="P45" s="36" t="s">
        <v>231</v>
      </c>
    </row>
    <row r="46" spans="4:16" ht="15.75" x14ac:dyDescent="0.25">
      <c r="D46" s="9" t="s">
        <v>104</v>
      </c>
      <c r="E46" s="10" t="s">
        <v>105</v>
      </c>
      <c r="F46">
        <f t="shared" si="0"/>
        <v>3</v>
      </c>
      <c r="G46" s="36">
        <v>1</v>
      </c>
      <c r="H46" s="37">
        <v>45851.881944444445</v>
      </c>
      <c r="I46" s="38">
        <v>0.61736111111111114</v>
      </c>
      <c r="J46" s="37">
        <v>45853.441666666666</v>
      </c>
      <c r="K46" s="36" t="s">
        <v>227</v>
      </c>
      <c r="L46" s="36" t="s">
        <v>228</v>
      </c>
      <c r="M46" s="28" t="s">
        <v>229</v>
      </c>
      <c r="N46" s="36">
        <v>45</v>
      </c>
      <c r="O46" s="36" t="s">
        <v>230</v>
      </c>
      <c r="P46" s="36" t="s">
        <v>231</v>
      </c>
    </row>
    <row r="47" spans="4:16" ht="15.75" x14ac:dyDescent="0.25">
      <c r="D47" s="9" t="s">
        <v>106</v>
      </c>
      <c r="E47" s="10" t="s">
        <v>107</v>
      </c>
      <c r="F47">
        <f t="shared" si="0"/>
        <v>3</v>
      </c>
      <c r="G47" s="36">
        <v>1</v>
      </c>
      <c r="H47" s="37">
        <v>45851.926388888889</v>
      </c>
      <c r="I47" s="38">
        <v>0.57430555555555551</v>
      </c>
      <c r="J47" s="37">
        <v>45853.441666666666</v>
      </c>
      <c r="K47" s="36" t="s">
        <v>227</v>
      </c>
      <c r="L47" s="36" t="s">
        <v>228</v>
      </c>
      <c r="M47" s="28" t="s">
        <v>229</v>
      </c>
      <c r="N47" s="36">
        <v>46</v>
      </c>
      <c r="O47" s="36" t="s">
        <v>230</v>
      </c>
      <c r="P47" s="36" t="s">
        <v>231</v>
      </c>
    </row>
    <row r="48" spans="4:16" ht="15.75" x14ac:dyDescent="0.25">
      <c r="D48" s="9" t="s">
        <v>108</v>
      </c>
      <c r="E48" s="10" t="s">
        <v>109</v>
      </c>
      <c r="F48">
        <f t="shared" si="0"/>
        <v>3</v>
      </c>
      <c r="G48" s="36">
        <v>1</v>
      </c>
      <c r="H48" s="37">
        <v>45851.835416666669</v>
      </c>
      <c r="I48" s="38">
        <v>0.69791666666666663</v>
      </c>
      <c r="J48" s="37">
        <v>45853.441666666666</v>
      </c>
      <c r="K48" s="36" t="s">
        <v>227</v>
      </c>
      <c r="L48" s="36" t="s">
        <v>228</v>
      </c>
      <c r="M48" s="28" t="s">
        <v>229</v>
      </c>
      <c r="N48" s="36">
        <v>47</v>
      </c>
      <c r="O48" s="36" t="s">
        <v>230</v>
      </c>
      <c r="P48" s="36" t="s">
        <v>231</v>
      </c>
    </row>
    <row r="49" spans="4:16" ht="15.75" x14ac:dyDescent="0.25">
      <c r="D49" s="9" t="s">
        <v>110</v>
      </c>
      <c r="E49" s="10" t="s">
        <v>111</v>
      </c>
      <c r="F49">
        <f t="shared" si="0"/>
        <v>3</v>
      </c>
      <c r="G49" s="36">
        <v>1</v>
      </c>
      <c r="H49" s="37">
        <v>45851.777777777781</v>
      </c>
      <c r="I49" s="38">
        <v>0.65555555555555556</v>
      </c>
      <c r="J49" s="37">
        <v>45853.441666666666</v>
      </c>
      <c r="K49" s="36" t="s">
        <v>227</v>
      </c>
      <c r="L49" s="36" t="s">
        <v>228</v>
      </c>
      <c r="M49" s="28" t="s">
        <v>229</v>
      </c>
      <c r="N49" s="36">
        <v>48</v>
      </c>
      <c r="O49" s="36" t="s">
        <v>230</v>
      </c>
      <c r="P49" s="36" t="s">
        <v>231</v>
      </c>
    </row>
    <row r="50" spans="4:16" ht="15.75" x14ac:dyDescent="0.25">
      <c r="D50" s="9" t="s">
        <v>112</v>
      </c>
      <c r="E50" s="10" t="s">
        <v>113</v>
      </c>
      <c r="F50">
        <f t="shared" si="0"/>
        <v>3</v>
      </c>
      <c r="G50" s="36">
        <v>1</v>
      </c>
      <c r="H50" s="37">
        <v>45851.647222222222</v>
      </c>
      <c r="I50" s="38">
        <v>0.78749999999999998</v>
      </c>
      <c r="J50" s="37">
        <v>45853.441666666666</v>
      </c>
      <c r="K50" s="36" t="s">
        <v>227</v>
      </c>
      <c r="L50" s="36" t="s">
        <v>228</v>
      </c>
      <c r="M50" s="28" t="s">
        <v>229</v>
      </c>
      <c r="N50" s="36">
        <v>49</v>
      </c>
      <c r="O50" s="36" t="s">
        <v>230</v>
      </c>
      <c r="P50" s="36" t="s">
        <v>231</v>
      </c>
    </row>
    <row r="51" spans="4:16" ht="15.75" x14ac:dyDescent="0.25">
      <c r="D51" s="9" t="s">
        <v>114</v>
      </c>
      <c r="E51" s="10" t="s">
        <v>115</v>
      </c>
      <c r="F51">
        <f t="shared" si="0"/>
        <v>3</v>
      </c>
      <c r="G51" s="36">
        <v>1</v>
      </c>
      <c r="H51" s="37">
        <v>45853.416666666664</v>
      </c>
      <c r="I51" s="38">
        <v>0.19236111111111112</v>
      </c>
      <c r="J51" s="37">
        <v>45853.441666666666</v>
      </c>
      <c r="K51" s="36" t="s">
        <v>227</v>
      </c>
      <c r="L51" s="36" t="s">
        <v>228</v>
      </c>
      <c r="M51" s="28" t="s">
        <v>229</v>
      </c>
      <c r="N51" s="36">
        <v>50</v>
      </c>
      <c r="O51" s="36" t="s">
        <v>230</v>
      </c>
      <c r="P51" s="36" t="s">
        <v>231</v>
      </c>
    </row>
    <row r="52" spans="4:16" ht="15.75" x14ac:dyDescent="0.25">
      <c r="D52" s="9" t="s">
        <v>116</v>
      </c>
      <c r="E52" s="10" t="s">
        <v>117</v>
      </c>
      <c r="F52">
        <f t="shared" si="0"/>
        <v>3</v>
      </c>
      <c r="G52" s="36">
        <v>1</v>
      </c>
      <c r="H52" s="37">
        <v>45853.445833333331</v>
      </c>
      <c r="I52" s="38">
        <v>0.98333333333333339</v>
      </c>
      <c r="J52" s="37">
        <v>45854.429166666669</v>
      </c>
      <c r="K52" s="36" t="s">
        <v>227</v>
      </c>
      <c r="L52" s="36" t="s">
        <v>228</v>
      </c>
      <c r="M52" s="28" t="s">
        <v>229</v>
      </c>
      <c r="N52" s="36">
        <v>51</v>
      </c>
      <c r="O52" s="36" t="s">
        <v>230</v>
      </c>
      <c r="P52" s="36" t="s">
        <v>231</v>
      </c>
    </row>
    <row r="53" spans="4:16" ht="15.75" x14ac:dyDescent="0.25">
      <c r="D53" s="9" t="s">
        <v>118</v>
      </c>
      <c r="E53" s="10" t="s">
        <v>119</v>
      </c>
      <c r="F53">
        <f t="shared" si="0"/>
        <v>3</v>
      </c>
      <c r="G53" s="36">
        <v>1</v>
      </c>
      <c r="H53" s="37">
        <v>45853.270833333336</v>
      </c>
      <c r="I53" s="38">
        <v>1.1597222222222221</v>
      </c>
      <c r="J53" s="37">
        <v>45854.430555555555</v>
      </c>
      <c r="K53" s="36" t="s">
        <v>227</v>
      </c>
      <c r="L53" s="36" t="s">
        <v>228</v>
      </c>
      <c r="M53" s="28" t="s">
        <v>229</v>
      </c>
      <c r="N53" s="36">
        <v>52</v>
      </c>
      <c r="O53" s="36" t="s">
        <v>230</v>
      </c>
      <c r="P53" s="36" t="s">
        <v>231</v>
      </c>
    </row>
    <row r="54" spans="4:16" ht="15.75" x14ac:dyDescent="0.25">
      <c r="D54" s="9" t="s">
        <v>120</v>
      </c>
      <c r="E54" s="10" t="s">
        <v>121</v>
      </c>
      <c r="F54">
        <f t="shared" si="0"/>
        <v>3</v>
      </c>
      <c r="G54" s="36">
        <v>1</v>
      </c>
      <c r="H54" s="37">
        <v>45853.291666666664</v>
      </c>
      <c r="I54" s="38">
        <v>1.1395833333333334</v>
      </c>
      <c r="J54" s="37">
        <v>45854.431250000001</v>
      </c>
      <c r="K54" s="36" t="s">
        <v>227</v>
      </c>
      <c r="L54" s="36" t="s">
        <v>228</v>
      </c>
      <c r="M54" s="28" t="s">
        <v>229</v>
      </c>
      <c r="N54" s="36">
        <v>53</v>
      </c>
      <c r="O54" s="36" t="s">
        <v>230</v>
      </c>
      <c r="P54" s="36" t="s">
        <v>231</v>
      </c>
    </row>
    <row r="55" spans="4:16" ht="15.75" x14ac:dyDescent="0.25">
      <c r="D55" s="9" t="s">
        <v>122</v>
      </c>
      <c r="E55" s="10" t="s">
        <v>123</v>
      </c>
      <c r="F55">
        <f t="shared" si="0"/>
        <v>3</v>
      </c>
      <c r="G55" s="36">
        <v>1</v>
      </c>
      <c r="H55" s="37">
        <v>45853.957638888889</v>
      </c>
      <c r="I55" s="38">
        <v>0.50208333333333333</v>
      </c>
      <c r="J55" s="37">
        <v>45854.459722222222</v>
      </c>
      <c r="K55" s="36" t="s">
        <v>227</v>
      </c>
      <c r="L55" s="36" t="s">
        <v>228</v>
      </c>
      <c r="M55" s="28" t="s">
        <v>229</v>
      </c>
      <c r="N55" s="36">
        <v>54</v>
      </c>
      <c r="O55" s="36" t="s">
        <v>230</v>
      </c>
      <c r="P55" s="36" t="s">
        <v>231</v>
      </c>
    </row>
    <row r="56" spans="4:16" ht="15.75" x14ac:dyDescent="0.25">
      <c r="D56" s="9" t="s">
        <v>124</v>
      </c>
      <c r="E56" s="10" t="s">
        <v>125</v>
      </c>
      <c r="F56">
        <f t="shared" si="0"/>
        <v>3</v>
      </c>
      <c r="G56" s="36">
        <v>1</v>
      </c>
      <c r="H56" s="37">
        <v>45855.493055555555</v>
      </c>
      <c r="I56" s="38">
        <v>9.5833333333333326E-2</v>
      </c>
      <c r="J56" s="37">
        <v>45856.588888888888</v>
      </c>
      <c r="K56" s="36" t="s">
        <v>227</v>
      </c>
      <c r="L56" s="36" t="s">
        <v>228</v>
      </c>
      <c r="M56" s="28" t="s">
        <v>229</v>
      </c>
      <c r="N56" s="36">
        <v>55</v>
      </c>
      <c r="O56" s="36" t="s">
        <v>230</v>
      </c>
      <c r="P56" s="36" t="s">
        <v>231</v>
      </c>
    </row>
    <row r="57" spans="4:16" ht="15.75" x14ac:dyDescent="0.25">
      <c r="D57" s="9" t="s">
        <v>126</v>
      </c>
      <c r="E57" s="10" t="s">
        <v>127</v>
      </c>
      <c r="F57">
        <f t="shared" si="0"/>
        <v>3</v>
      </c>
      <c r="G57" s="36">
        <v>1</v>
      </c>
      <c r="H57" s="37">
        <v>45855.461805555555</v>
      </c>
      <c r="I57" s="38">
        <v>0.1277777777777778</v>
      </c>
      <c r="J57" s="37">
        <v>45856.589583333334</v>
      </c>
      <c r="K57" s="36" t="s">
        <v>227</v>
      </c>
      <c r="L57" s="36" t="s">
        <v>228</v>
      </c>
      <c r="M57" s="36" t="s">
        <v>229</v>
      </c>
      <c r="N57" s="36">
        <v>56</v>
      </c>
      <c r="O57" s="36" t="s">
        <v>230</v>
      </c>
      <c r="P57" s="36" t="s">
        <v>231</v>
      </c>
    </row>
    <row r="58" spans="4:16" ht="15.75" x14ac:dyDescent="0.25">
      <c r="D58" s="8" t="s">
        <v>128</v>
      </c>
      <c r="E58" s="3" t="s">
        <v>129</v>
      </c>
      <c r="F58">
        <f t="shared" si="0"/>
        <v>3</v>
      </c>
      <c r="G58" s="28">
        <v>1</v>
      </c>
      <c r="H58" s="29">
        <v>45858.847222222219</v>
      </c>
      <c r="I58" s="30">
        <v>0.67361111111111116</v>
      </c>
      <c r="J58" s="40">
        <v>45860.573611111111</v>
      </c>
      <c r="K58" s="28" t="s">
        <v>227</v>
      </c>
      <c r="L58" s="28" t="s">
        <v>228</v>
      </c>
      <c r="M58" s="28" t="s">
        <v>229</v>
      </c>
      <c r="N58" s="28">
        <v>57</v>
      </c>
      <c r="O58" s="28" t="s">
        <v>230</v>
      </c>
      <c r="P58" s="28" t="s">
        <v>231</v>
      </c>
    </row>
    <row r="59" spans="4:16" ht="15.75" x14ac:dyDescent="0.25">
      <c r="D59" s="8" t="s">
        <v>130</v>
      </c>
      <c r="E59" s="3" t="s">
        <v>131</v>
      </c>
      <c r="F59">
        <f t="shared" si="0"/>
        <v>3</v>
      </c>
      <c r="G59" s="28">
        <v>1</v>
      </c>
      <c r="H59" s="29">
        <v>45858.970833333333</v>
      </c>
      <c r="I59" s="30">
        <v>0.55069444444444449</v>
      </c>
      <c r="J59" s="40">
        <v>45860.573611111111</v>
      </c>
      <c r="K59" s="28" t="s">
        <v>227</v>
      </c>
      <c r="L59" s="28" t="s">
        <v>228</v>
      </c>
      <c r="M59" s="28" t="s">
        <v>229</v>
      </c>
      <c r="N59" s="28">
        <v>58</v>
      </c>
      <c r="O59" s="28" t="s">
        <v>230</v>
      </c>
      <c r="P59" s="28" t="s">
        <v>231</v>
      </c>
    </row>
    <row r="60" spans="4:16" ht="15.75" x14ac:dyDescent="0.25">
      <c r="D60" s="8" t="s">
        <v>132</v>
      </c>
      <c r="E60" s="3" t="s">
        <v>133</v>
      </c>
      <c r="F60">
        <f t="shared" si="0"/>
        <v>3</v>
      </c>
      <c r="G60" s="28">
        <v>1</v>
      </c>
      <c r="H60" s="29">
        <v>45859.474305555559</v>
      </c>
      <c r="I60" s="30">
        <v>5.6250000000000001E-2</v>
      </c>
      <c r="J60" s="40">
        <v>45860.573611111111</v>
      </c>
      <c r="K60" s="28" t="s">
        <v>227</v>
      </c>
      <c r="L60" s="28" t="s">
        <v>228</v>
      </c>
      <c r="M60" s="28" t="s">
        <v>229</v>
      </c>
      <c r="N60" s="28">
        <v>59</v>
      </c>
      <c r="O60" s="28" t="s">
        <v>230</v>
      </c>
      <c r="P60" s="28" t="s">
        <v>231</v>
      </c>
    </row>
    <row r="61" spans="4:16" ht="15.75" x14ac:dyDescent="0.25">
      <c r="D61" s="8" t="s">
        <v>134</v>
      </c>
      <c r="E61" s="3" t="s">
        <v>135</v>
      </c>
      <c r="F61">
        <f t="shared" si="0"/>
        <v>3</v>
      </c>
      <c r="G61" s="28">
        <v>1</v>
      </c>
      <c r="H61" s="29">
        <v>45858.511805555558</v>
      </c>
      <c r="I61" s="30">
        <v>1.0229166666666667</v>
      </c>
      <c r="J61" s="40">
        <v>45860.573611111111</v>
      </c>
      <c r="K61" s="28" t="s">
        <v>227</v>
      </c>
      <c r="L61" s="28" t="s">
        <v>228</v>
      </c>
      <c r="M61" s="28" t="s">
        <v>229</v>
      </c>
      <c r="N61" s="28">
        <v>60</v>
      </c>
      <c r="O61" s="28" t="s">
        <v>230</v>
      </c>
      <c r="P61" s="28" t="s">
        <v>231</v>
      </c>
    </row>
    <row r="62" spans="4:16" ht="15.75" x14ac:dyDescent="0.25">
      <c r="D62" s="8" t="s">
        <v>136</v>
      </c>
      <c r="E62" s="3" t="s">
        <v>137</v>
      </c>
      <c r="F62">
        <f t="shared" si="0"/>
        <v>3</v>
      </c>
      <c r="G62" s="28">
        <v>1</v>
      </c>
      <c r="H62" s="29">
        <v>45857.944444444445</v>
      </c>
      <c r="I62" s="30">
        <v>1.5965277777777778</v>
      </c>
      <c r="J62" s="40">
        <v>45860.573611111111</v>
      </c>
      <c r="K62" s="28" t="s">
        <v>227</v>
      </c>
      <c r="L62" s="28" t="s">
        <v>228</v>
      </c>
      <c r="M62" s="28" t="s">
        <v>229</v>
      </c>
      <c r="N62" s="28">
        <v>61</v>
      </c>
      <c r="O62" s="28" t="s">
        <v>230</v>
      </c>
      <c r="P62" s="28" t="s">
        <v>231</v>
      </c>
    </row>
    <row r="63" spans="4:16" ht="15.75" x14ac:dyDescent="0.25">
      <c r="D63" s="8" t="s">
        <v>138</v>
      </c>
      <c r="E63" s="3" t="s">
        <v>139</v>
      </c>
      <c r="F63">
        <f t="shared" si="0"/>
        <v>3</v>
      </c>
      <c r="G63" s="28">
        <v>1</v>
      </c>
      <c r="H63" s="29">
        <v>45859.930555555555</v>
      </c>
      <c r="I63" s="30">
        <v>0.50138888888888888</v>
      </c>
      <c r="J63" s="40">
        <v>45860.573611111111</v>
      </c>
      <c r="K63" s="28" t="s">
        <v>227</v>
      </c>
      <c r="L63" s="28" t="s">
        <v>228</v>
      </c>
      <c r="M63" s="28" t="s">
        <v>229</v>
      </c>
      <c r="N63" s="28">
        <v>62</v>
      </c>
      <c r="O63" s="28" t="s">
        <v>230</v>
      </c>
      <c r="P63" s="28" t="s">
        <v>231</v>
      </c>
    </row>
    <row r="64" spans="4:16" ht="15.75" x14ac:dyDescent="0.25">
      <c r="D64" s="8" t="s">
        <v>140</v>
      </c>
      <c r="E64" s="3" t="s">
        <v>141</v>
      </c>
      <c r="F64">
        <f t="shared" si="0"/>
        <v>3</v>
      </c>
      <c r="G64" s="28">
        <v>1</v>
      </c>
      <c r="H64" s="29">
        <v>45860.347222222219</v>
      </c>
      <c r="I64" s="30">
        <v>0.14722222222222223</v>
      </c>
      <c r="J64" s="40">
        <v>45860.573611111111</v>
      </c>
      <c r="K64" s="28" t="s">
        <v>227</v>
      </c>
      <c r="L64" s="28" t="s">
        <v>228</v>
      </c>
      <c r="M64" s="28" t="s">
        <v>229</v>
      </c>
      <c r="N64" s="28">
        <v>63</v>
      </c>
      <c r="O64" s="28" t="s">
        <v>230</v>
      </c>
      <c r="P64" s="28" t="s">
        <v>231</v>
      </c>
    </row>
    <row r="65" spans="4:16" ht="15.75" x14ac:dyDescent="0.25">
      <c r="D65" s="8" t="s">
        <v>142</v>
      </c>
      <c r="E65" s="3" t="s">
        <v>143</v>
      </c>
      <c r="F65">
        <f t="shared" si="0"/>
        <v>3</v>
      </c>
      <c r="G65" s="28">
        <v>1</v>
      </c>
      <c r="H65" s="29">
        <v>45860.361111111109</v>
      </c>
      <c r="I65" s="30">
        <v>0.13541666666666666</v>
      </c>
      <c r="J65" s="40">
        <v>45860.573611111111</v>
      </c>
      <c r="K65" s="28" t="s">
        <v>227</v>
      </c>
      <c r="L65" s="28" t="s">
        <v>228</v>
      </c>
      <c r="M65" s="28" t="s">
        <v>229</v>
      </c>
      <c r="N65" s="28">
        <v>64</v>
      </c>
      <c r="O65" s="28" t="s">
        <v>230</v>
      </c>
      <c r="P65" s="28" t="s">
        <v>231</v>
      </c>
    </row>
    <row r="66" spans="4:16" ht="15.75" x14ac:dyDescent="0.25">
      <c r="D66" s="8" t="s">
        <v>144</v>
      </c>
      <c r="E66" s="3" t="s">
        <v>145</v>
      </c>
      <c r="F66">
        <f t="shared" si="0"/>
        <v>3</v>
      </c>
      <c r="G66" s="28">
        <v>1</v>
      </c>
      <c r="H66" s="29">
        <v>45858.427777777775</v>
      </c>
      <c r="I66" s="30">
        <v>2.1437499999999998</v>
      </c>
      <c r="J66" s="40">
        <v>45860.573611111111</v>
      </c>
      <c r="K66" s="28" t="s">
        <v>227</v>
      </c>
      <c r="L66" s="28" t="s">
        <v>228</v>
      </c>
      <c r="M66" s="28" t="s">
        <v>229</v>
      </c>
      <c r="N66" s="28">
        <v>65</v>
      </c>
      <c r="O66" s="28" t="s">
        <v>230</v>
      </c>
      <c r="P66" s="28" t="s">
        <v>231</v>
      </c>
    </row>
    <row r="67" spans="4:16" ht="15.75" x14ac:dyDescent="0.25">
      <c r="D67" s="8" t="s">
        <v>146</v>
      </c>
      <c r="E67" s="3" t="s">
        <v>147</v>
      </c>
      <c r="F67">
        <f t="shared" ref="F67:F130" si="1">VALUE(RIGHT(E67,1))</f>
        <v>3</v>
      </c>
      <c r="G67" s="28">
        <v>1</v>
      </c>
      <c r="H67" s="29">
        <v>45860.409722222219</v>
      </c>
      <c r="I67" s="30">
        <v>0.16388888888888889</v>
      </c>
      <c r="J67" s="41">
        <v>45860.573611111111</v>
      </c>
      <c r="K67" s="28" t="s">
        <v>227</v>
      </c>
      <c r="L67" s="28" t="s">
        <v>228</v>
      </c>
      <c r="M67" s="28" t="s">
        <v>229</v>
      </c>
      <c r="N67" s="28">
        <v>66</v>
      </c>
      <c r="O67" s="28" t="s">
        <v>230</v>
      </c>
      <c r="P67" s="28" t="s">
        <v>231</v>
      </c>
    </row>
    <row r="68" spans="4:16" ht="15.75" x14ac:dyDescent="0.25">
      <c r="D68" s="8" t="s">
        <v>148</v>
      </c>
      <c r="E68" s="3" t="s">
        <v>149</v>
      </c>
      <c r="F68">
        <f t="shared" si="1"/>
        <v>3</v>
      </c>
      <c r="G68" s="28">
        <v>1</v>
      </c>
      <c r="H68" s="29">
        <v>45861.256944444445</v>
      </c>
      <c r="I68" s="30">
        <v>1.1944444444444444</v>
      </c>
      <c r="J68" s="41">
        <v>45863</v>
      </c>
      <c r="K68" s="28" t="s">
        <v>227</v>
      </c>
      <c r="L68" s="28" t="s">
        <v>228</v>
      </c>
      <c r="M68" s="28" t="s">
        <v>229</v>
      </c>
      <c r="N68" s="28">
        <v>67</v>
      </c>
      <c r="O68" s="28" t="s">
        <v>230</v>
      </c>
      <c r="P68" s="28" t="s">
        <v>231</v>
      </c>
    </row>
    <row r="69" spans="4:16" ht="15.75" x14ac:dyDescent="0.25">
      <c r="D69" s="8" t="s">
        <v>150</v>
      </c>
      <c r="E69" s="3" t="s">
        <v>151</v>
      </c>
      <c r="F69">
        <f t="shared" si="1"/>
        <v>3</v>
      </c>
      <c r="G69" s="28">
        <v>1</v>
      </c>
      <c r="H69" s="29">
        <v>45863.404166666667</v>
      </c>
      <c r="I69" s="30">
        <v>9.583333333333334E-2</v>
      </c>
      <c r="J69" s="41">
        <v>45863</v>
      </c>
      <c r="K69" s="28" t="s">
        <v>227</v>
      </c>
      <c r="L69" s="28" t="s">
        <v>228</v>
      </c>
      <c r="M69" s="28" t="s">
        <v>229</v>
      </c>
      <c r="N69" s="28">
        <v>68</v>
      </c>
      <c r="O69" s="28" t="s">
        <v>230</v>
      </c>
      <c r="P69" s="28" t="s">
        <v>231</v>
      </c>
    </row>
    <row r="70" spans="4:16" ht="15.75" x14ac:dyDescent="0.25">
      <c r="D70" s="8" t="s">
        <v>152</v>
      </c>
      <c r="E70" s="3" t="s">
        <v>153</v>
      </c>
      <c r="F70">
        <f t="shared" si="1"/>
        <v>3</v>
      </c>
      <c r="G70" s="28">
        <v>1</v>
      </c>
      <c r="H70" s="29">
        <v>45863.944444444445</v>
      </c>
      <c r="I70" s="30">
        <v>0.4152777777777778</v>
      </c>
      <c r="J70" s="41">
        <v>45864.359722222223</v>
      </c>
      <c r="K70" s="28" t="s">
        <v>227</v>
      </c>
      <c r="L70" s="28" t="s">
        <v>228</v>
      </c>
      <c r="M70" s="28" t="s">
        <v>229</v>
      </c>
      <c r="N70" s="28">
        <v>69</v>
      </c>
      <c r="O70" s="28" t="s">
        <v>230</v>
      </c>
      <c r="P70" s="28" t="s">
        <v>235</v>
      </c>
    </row>
    <row r="71" spans="4:16" ht="15.75" x14ac:dyDescent="0.25">
      <c r="D71" s="8" t="s">
        <v>154</v>
      </c>
      <c r="E71" s="3" t="s">
        <v>155</v>
      </c>
      <c r="F71">
        <f t="shared" si="1"/>
        <v>3</v>
      </c>
      <c r="G71" s="28">
        <v>1</v>
      </c>
      <c r="H71" s="29">
        <v>45863.686805555553</v>
      </c>
      <c r="I71" s="30">
        <v>0.67569444444444449</v>
      </c>
      <c r="J71" s="41">
        <v>45864.359722222223</v>
      </c>
      <c r="K71" s="28" t="s">
        <v>227</v>
      </c>
      <c r="L71" s="28" t="s">
        <v>228</v>
      </c>
      <c r="M71" s="28" t="s">
        <v>229</v>
      </c>
      <c r="N71" s="28">
        <v>70</v>
      </c>
      <c r="O71" s="28" t="s">
        <v>230</v>
      </c>
      <c r="P71" s="28" t="s">
        <v>231</v>
      </c>
    </row>
    <row r="72" spans="4:16" ht="15.75" x14ac:dyDescent="0.25">
      <c r="D72" s="8" t="s">
        <v>156</v>
      </c>
      <c r="E72" s="3" t="s">
        <v>157</v>
      </c>
      <c r="F72">
        <f t="shared" si="1"/>
        <v>3</v>
      </c>
      <c r="G72" s="28">
        <v>1</v>
      </c>
      <c r="H72" s="29">
        <v>45863.561111111114</v>
      </c>
      <c r="I72" s="30">
        <v>0.80208333333333337</v>
      </c>
      <c r="J72" s="41">
        <v>45864.359722222223</v>
      </c>
      <c r="K72" s="28" t="s">
        <v>227</v>
      </c>
      <c r="L72" s="28" t="s">
        <v>228</v>
      </c>
      <c r="M72" s="28" t="s">
        <v>229</v>
      </c>
      <c r="N72" s="28">
        <v>71</v>
      </c>
      <c r="O72" s="28" t="s">
        <v>230</v>
      </c>
      <c r="P72" s="28" t="s">
        <v>231</v>
      </c>
    </row>
    <row r="73" spans="4:16" ht="15.75" x14ac:dyDescent="0.25">
      <c r="D73" s="8" t="s">
        <v>158</v>
      </c>
      <c r="E73" s="3" t="s">
        <v>159</v>
      </c>
      <c r="F73">
        <f t="shared" si="1"/>
        <v>3</v>
      </c>
      <c r="G73" s="28">
        <v>1</v>
      </c>
      <c r="H73" s="29">
        <v>45863.731249999997</v>
      </c>
      <c r="I73" s="30">
        <v>0.6333333333333333</v>
      </c>
      <c r="J73" s="41">
        <v>45864.359722222223</v>
      </c>
      <c r="K73" s="28" t="s">
        <v>227</v>
      </c>
      <c r="L73" s="28" t="s">
        <v>228</v>
      </c>
      <c r="M73" s="28" t="s">
        <v>229</v>
      </c>
      <c r="N73" s="28">
        <v>72</v>
      </c>
      <c r="O73" s="28" t="s">
        <v>230</v>
      </c>
      <c r="P73" s="28" t="s">
        <v>231</v>
      </c>
    </row>
    <row r="74" spans="4:16" ht="15.75" x14ac:dyDescent="0.25">
      <c r="D74" s="8" t="s">
        <v>160</v>
      </c>
      <c r="E74" s="3" t="s">
        <v>161</v>
      </c>
      <c r="F74">
        <f t="shared" si="1"/>
        <v>3</v>
      </c>
      <c r="G74" s="28">
        <v>1</v>
      </c>
      <c r="H74" s="29">
        <v>45867.782638888886</v>
      </c>
      <c r="I74" s="30">
        <v>0.56388888888888888</v>
      </c>
      <c r="J74" s="41">
        <v>45868.34652777778</v>
      </c>
      <c r="K74" s="28" t="s">
        <v>227</v>
      </c>
      <c r="L74" s="28" t="s">
        <v>228</v>
      </c>
      <c r="M74" s="28" t="s">
        <v>229</v>
      </c>
      <c r="N74" s="28">
        <v>73</v>
      </c>
      <c r="O74" s="28" t="s">
        <v>230</v>
      </c>
      <c r="P74" s="28" t="s">
        <v>231</v>
      </c>
    </row>
    <row r="75" spans="4:16" ht="15.75" x14ac:dyDescent="0.25">
      <c r="D75" s="8" t="s">
        <v>162</v>
      </c>
      <c r="E75" s="3" t="s">
        <v>163</v>
      </c>
      <c r="F75">
        <f t="shared" si="1"/>
        <v>3</v>
      </c>
      <c r="G75" s="28">
        <v>1</v>
      </c>
      <c r="H75" s="29">
        <v>45867.779166666667</v>
      </c>
      <c r="I75" s="30">
        <v>0.57361111111111107</v>
      </c>
      <c r="J75" s="41">
        <v>45868.34652777778</v>
      </c>
      <c r="K75" s="28" t="s">
        <v>227</v>
      </c>
      <c r="L75" s="28" t="s">
        <v>228</v>
      </c>
      <c r="M75" s="28" t="s">
        <v>229</v>
      </c>
      <c r="N75" s="28">
        <v>74</v>
      </c>
      <c r="O75" s="28" t="s">
        <v>230</v>
      </c>
      <c r="P75" s="28" t="s">
        <v>231</v>
      </c>
    </row>
    <row r="76" spans="4:16" ht="15.75" x14ac:dyDescent="0.25">
      <c r="D76" s="8" t="s">
        <v>164</v>
      </c>
      <c r="E76" s="3" t="s">
        <v>165</v>
      </c>
      <c r="F76">
        <f t="shared" si="1"/>
        <v>3</v>
      </c>
      <c r="G76" s="28">
        <v>1</v>
      </c>
      <c r="H76" s="29">
        <v>45864.890972222223</v>
      </c>
      <c r="I76" s="30">
        <v>3.4645833333333331</v>
      </c>
      <c r="J76" s="41">
        <v>45868.34652777778</v>
      </c>
      <c r="K76" s="28" t="s">
        <v>227</v>
      </c>
      <c r="L76" s="28" t="s">
        <v>228</v>
      </c>
      <c r="M76" s="28" t="s">
        <v>229</v>
      </c>
      <c r="N76" s="28">
        <v>75</v>
      </c>
      <c r="O76" s="28" t="s">
        <v>230</v>
      </c>
      <c r="P76" s="28" t="s">
        <v>231</v>
      </c>
    </row>
    <row r="77" spans="4:16" ht="15.75" x14ac:dyDescent="0.25">
      <c r="D77" s="8" t="s">
        <v>166</v>
      </c>
      <c r="E77" s="3" t="s">
        <v>167</v>
      </c>
      <c r="F77">
        <f t="shared" si="1"/>
        <v>3</v>
      </c>
      <c r="G77" s="28">
        <v>1</v>
      </c>
      <c r="H77" s="29">
        <v>45865.636805555558</v>
      </c>
      <c r="I77" s="30">
        <v>2.7201388888888891</v>
      </c>
      <c r="J77" s="41">
        <v>45868.34652777778</v>
      </c>
      <c r="K77" s="28" t="s">
        <v>227</v>
      </c>
      <c r="L77" s="28" t="s">
        <v>228</v>
      </c>
      <c r="M77" s="28" t="s">
        <v>229</v>
      </c>
      <c r="N77" s="28">
        <v>76</v>
      </c>
      <c r="O77" s="28" t="s">
        <v>230</v>
      </c>
      <c r="P77" s="28" t="s">
        <v>231</v>
      </c>
    </row>
    <row r="78" spans="4:16" ht="15.75" x14ac:dyDescent="0.25">
      <c r="D78" s="8" t="s">
        <v>168</v>
      </c>
      <c r="E78" s="3" t="s">
        <v>169</v>
      </c>
      <c r="F78">
        <f t="shared" si="1"/>
        <v>3</v>
      </c>
      <c r="G78" s="28">
        <v>1</v>
      </c>
      <c r="H78" s="29">
        <v>45866.593055555553</v>
      </c>
      <c r="I78" s="30">
        <v>1.7749999999999999</v>
      </c>
      <c r="J78" s="41">
        <v>45868.34652777778</v>
      </c>
      <c r="K78" s="28" t="s">
        <v>227</v>
      </c>
      <c r="L78" s="28" t="s">
        <v>228</v>
      </c>
      <c r="M78" s="28" t="s">
        <v>229</v>
      </c>
      <c r="N78" s="28">
        <v>77</v>
      </c>
      <c r="O78" s="28" t="s">
        <v>230</v>
      </c>
      <c r="P78" s="28" t="s">
        <v>231</v>
      </c>
    </row>
    <row r="79" spans="4:16" ht="15.75" x14ac:dyDescent="0.25">
      <c r="D79" s="8" t="s">
        <v>170</v>
      </c>
      <c r="E79" s="3" t="s">
        <v>171</v>
      </c>
      <c r="F79">
        <f t="shared" si="1"/>
        <v>3</v>
      </c>
      <c r="G79" s="28">
        <v>1</v>
      </c>
      <c r="H79" s="29">
        <v>45866.25</v>
      </c>
      <c r="I79" s="30">
        <v>2.1194444444444445</v>
      </c>
      <c r="J79" s="41">
        <v>45868.34652777778</v>
      </c>
      <c r="K79" s="28" t="s">
        <v>227</v>
      </c>
      <c r="L79" s="28" t="s">
        <v>228</v>
      </c>
      <c r="M79" s="28" t="s">
        <v>229</v>
      </c>
      <c r="N79" s="28">
        <v>78</v>
      </c>
      <c r="O79" s="28" t="s">
        <v>230</v>
      </c>
      <c r="P79" s="28" t="s">
        <v>231</v>
      </c>
    </row>
    <row r="80" spans="4:16" ht="15.75" x14ac:dyDescent="0.25">
      <c r="D80" s="8">
        <v>836338</v>
      </c>
      <c r="E80" s="3" t="s">
        <v>172</v>
      </c>
      <c r="F80">
        <f t="shared" si="1"/>
        <v>3</v>
      </c>
      <c r="G80" s="28">
        <v>1</v>
      </c>
      <c r="H80" s="29">
        <v>45870.383333333331</v>
      </c>
      <c r="I80" s="30">
        <v>0.96388888888888891</v>
      </c>
      <c r="J80" s="41">
        <v>45873</v>
      </c>
      <c r="K80" s="28" t="s">
        <v>227</v>
      </c>
      <c r="L80" s="28" t="s">
        <v>228</v>
      </c>
      <c r="M80" s="28" t="s">
        <v>229</v>
      </c>
      <c r="N80" s="28">
        <v>79</v>
      </c>
      <c r="O80" s="28" t="s">
        <v>230</v>
      </c>
      <c r="P80" s="28" t="s">
        <v>231</v>
      </c>
    </row>
    <row r="81" spans="4:16" ht="15.75" x14ac:dyDescent="0.25">
      <c r="D81" s="8" t="s">
        <v>173</v>
      </c>
      <c r="E81" s="3" t="s">
        <v>174</v>
      </c>
      <c r="F81">
        <f t="shared" si="1"/>
        <v>3</v>
      </c>
      <c r="G81" s="28">
        <v>1</v>
      </c>
      <c r="H81" s="29">
        <v>45870.576388888891</v>
      </c>
      <c r="I81" s="30">
        <v>0.79027777777777775</v>
      </c>
      <c r="J81" s="41">
        <v>45873</v>
      </c>
      <c r="K81" s="28" t="s">
        <v>227</v>
      </c>
      <c r="L81" s="28" t="s">
        <v>228</v>
      </c>
      <c r="M81" s="28" t="s">
        <v>229</v>
      </c>
      <c r="N81" s="28">
        <v>80</v>
      </c>
      <c r="O81" s="28" t="s">
        <v>230</v>
      </c>
      <c r="P81" s="28" t="s">
        <v>231</v>
      </c>
    </row>
    <row r="82" spans="4:16" ht="15.75" x14ac:dyDescent="0.25">
      <c r="D82" s="8" t="s">
        <v>175</v>
      </c>
      <c r="E82" s="3" t="s">
        <v>176</v>
      </c>
      <c r="F82">
        <f t="shared" si="1"/>
        <v>3</v>
      </c>
      <c r="G82" s="28">
        <v>1</v>
      </c>
      <c r="H82" s="29">
        <v>45870.753472222219</v>
      </c>
      <c r="I82" s="30">
        <v>0.62222222222222223</v>
      </c>
      <c r="J82" s="41">
        <v>45873</v>
      </c>
      <c r="K82" s="28" t="s">
        <v>227</v>
      </c>
      <c r="L82" s="28" t="s">
        <v>228</v>
      </c>
      <c r="M82" s="28" t="s">
        <v>229</v>
      </c>
      <c r="N82" s="28">
        <v>81</v>
      </c>
      <c r="O82" s="28" t="s">
        <v>230</v>
      </c>
      <c r="P82" s="28" t="s">
        <v>231</v>
      </c>
    </row>
    <row r="83" spans="4:16" ht="15.75" x14ac:dyDescent="0.25">
      <c r="D83" s="8" t="s">
        <v>177</v>
      </c>
      <c r="E83" s="3" t="s">
        <v>178</v>
      </c>
      <c r="F83">
        <f t="shared" si="1"/>
        <v>3</v>
      </c>
      <c r="G83" s="28">
        <v>1</v>
      </c>
      <c r="H83" s="29">
        <v>45870.363194444442</v>
      </c>
      <c r="I83" s="30">
        <v>1.0166666666666666</v>
      </c>
      <c r="J83" s="41">
        <v>45873</v>
      </c>
      <c r="K83" s="28" t="s">
        <v>227</v>
      </c>
      <c r="L83" s="28" t="s">
        <v>228</v>
      </c>
      <c r="M83" s="28" t="s">
        <v>236</v>
      </c>
      <c r="N83" s="28">
        <v>1</v>
      </c>
      <c r="O83" s="28" t="s">
        <v>230</v>
      </c>
      <c r="P83" s="28" t="s">
        <v>231</v>
      </c>
    </row>
    <row r="84" spans="4:16" ht="15.75" x14ac:dyDescent="0.25">
      <c r="D84" s="8" t="s">
        <v>179</v>
      </c>
      <c r="E84" s="3" t="s">
        <v>180</v>
      </c>
      <c r="F84">
        <f t="shared" si="1"/>
        <v>3</v>
      </c>
      <c r="G84" s="28">
        <v>1</v>
      </c>
      <c r="H84" s="29">
        <v>45869.772222222222</v>
      </c>
      <c r="I84" s="30">
        <v>1.6125</v>
      </c>
      <c r="J84" s="41">
        <v>45873</v>
      </c>
      <c r="K84" s="28" t="s">
        <v>227</v>
      </c>
      <c r="L84" s="28" t="s">
        <v>228</v>
      </c>
      <c r="M84" s="28" t="s">
        <v>236</v>
      </c>
      <c r="N84" s="28">
        <v>2</v>
      </c>
      <c r="O84" s="28" t="s">
        <v>230</v>
      </c>
      <c r="P84" s="28" t="s">
        <v>231</v>
      </c>
    </row>
    <row r="85" spans="4:16" ht="15.75" x14ac:dyDescent="0.25">
      <c r="D85" s="8" t="s">
        <v>181</v>
      </c>
      <c r="E85" s="3" t="s">
        <v>182</v>
      </c>
      <c r="F85">
        <f t="shared" si="1"/>
        <v>3</v>
      </c>
      <c r="G85" s="28">
        <v>1</v>
      </c>
      <c r="H85" s="29">
        <v>45870.615277777775</v>
      </c>
      <c r="I85" s="30">
        <v>0.80694444444444446</v>
      </c>
      <c r="J85" s="41">
        <v>45873</v>
      </c>
      <c r="K85" s="28" t="s">
        <v>227</v>
      </c>
      <c r="L85" s="28" t="s">
        <v>228</v>
      </c>
      <c r="M85" s="28" t="s">
        <v>236</v>
      </c>
      <c r="N85" s="28">
        <v>3</v>
      </c>
      <c r="O85" s="28" t="s">
        <v>230</v>
      </c>
      <c r="P85" s="28" t="s">
        <v>231</v>
      </c>
    </row>
    <row r="86" spans="4:16" ht="15.75" x14ac:dyDescent="0.25">
      <c r="D86" s="11" t="s">
        <v>183</v>
      </c>
      <c r="E86" s="3" t="s">
        <v>184</v>
      </c>
      <c r="F86">
        <f t="shared" si="1"/>
        <v>3</v>
      </c>
      <c r="G86" s="28">
        <v>1</v>
      </c>
      <c r="H86" s="29">
        <v>45871.498611111114</v>
      </c>
      <c r="I86" s="30" t="s">
        <v>237</v>
      </c>
      <c r="J86" s="41">
        <v>45873</v>
      </c>
      <c r="K86" s="28" t="s">
        <v>227</v>
      </c>
      <c r="L86" s="28" t="s">
        <v>228</v>
      </c>
      <c r="M86" s="28" t="s">
        <v>236</v>
      </c>
      <c r="N86" s="28">
        <v>4</v>
      </c>
      <c r="O86" s="28" t="s">
        <v>230</v>
      </c>
      <c r="P86" s="28" t="s">
        <v>231</v>
      </c>
    </row>
    <row r="87" spans="4:16" ht="15.75" x14ac:dyDescent="0.25">
      <c r="D87" s="12" t="s">
        <v>185</v>
      </c>
      <c r="E87" s="13" t="s">
        <v>186</v>
      </c>
      <c r="F87">
        <f t="shared" si="1"/>
        <v>3</v>
      </c>
      <c r="G87" s="36">
        <v>1</v>
      </c>
      <c r="H87" s="42">
        <v>45871.743055555555</v>
      </c>
      <c r="I87" s="30" t="s">
        <v>238</v>
      </c>
      <c r="J87" s="43">
        <v>45873</v>
      </c>
      <c r="K87" s="28" t="s">
        <v>227</v>
      </c>
      <c r="L87" s="28" t="s">
        <v>228</v>
      </c>
      <c r="M87" s="28" t="s">
        <v>236</v>
      </c>
      <c r="N87" s="28">
        <v>5</v>
      </c>
      <c r="O87" s="28" t="s">
        <v>230</v>
      </c>
      <c r="P87" s="28" t="s">
        <v>231</v>
      </c>
    </row>
    <row r="88" spans="4:16" ht="15.75" x14ac:dyDescent="0.25">
      <c r="D88" s="14" t="s">
        <v>187</v>
      </c>
      <c r="E88" s="15" t="s">
        <v>188</v>
      </c>
      <c r="F88">
        <f t="shared" si="1"/>
        <v>3</v>
      </c>
      <c r="G88" s="44">
        <v>1</v>
      </c>
      <c r="H88" s="45">
        <v>45875.84375</v>
      </c>
      <c r="I88" s="30">
        <v>0.55555555555555558</v>
      </c>
      <c r="J88" s="46">
        <v>45876</v>
      </c>
      <c r="K88" s="47" t="s">
        <v>227</v>
      </c>
      <c r="L88" s="28" t="s">
        <v>228</v>
      </c>
      <c r="M88" s="28" t="s">
        <v>236</v>
      </c>
      <c r="N88" s="28">
        <v>6</v>
      </c>
      <c r="O88" s="28" t="s">
        <v>230</v>
      </c>
      <c r="P88" s="28" t="s">
        <v>231</v>
      </c>
    </row>
    <row r="89" spans="4:16" ht="15.75" x14ac:dyDescent="0.25">
      <c r="D89" s="14" t="s">
        <v>189</v>
      </c>
      <c r="E89" s="15" t="s">
        <v>190</v>
      </c>
      <c r="F89">
        <f t="shared" si="1"/>
        <v>3</v>
      </c>
      <c r="G89" s="44">
        <v>1</v>
      </c>
      <c r="H89" s="45">
        <v>45877.815972222219</v>
      </c>
      <c r="I89" s="30">
        <v>0.54652777777777783</v>
      </c>
      <c r="J89" s="46">
        <v>45878</v>
      </c>
      <c r="K89" s="47" t="s">
        <v>227</v>
      </c>
      <c r="L89" s="28" t="s">
        <v>228</v>
      </c>
      <c r="M89" s="28" t="s">
        <v>236</v>
      </c>
      <c r="N89" s="28">
        <v>7</v>
      </c>
      <c r="O89" s="28" t="s">
        <v>230</v>
      </c>
      <c r="P89" s="28" t="s">
        <v>231</v>
      </c>
    </row>
    <row r="90" spans="4:16" ht="15.75" x14ac:dyDescent="0.25">
      <c r="D90" s="16" t="s">
        <v>191</v>
      </c>
      <c r="E90" s="15" t="s">
        <v>242</v>
      </c>
      <c r="F90">
        <f t="shared" si="1"/>
        <v>3</v>
      </c>
      <c r="G90" s="44">
        <v>1</v>
      </c>
      <c r="H90" s="45">
        <v>45879.950694444444</v>
      </c>
      <c r="I90" s="30">
        <v>0.70138888888888884</v>
      </c>
      <c r="J90" s="46">
        <v>45881</v>
      </c>
      <c r="K90" s="47" t="s">
        <v>227</v>
      </c>
      <c r="L90" s="28" t="s">
        <v>228</v>
      </c>
      <c r="M90" s="28" t="s">
        <v>236</v>
      </c>
      <c r="N90" s="28">
        <v>8</v>
      </c>
      <c r="O90" s="28" t="s">
        <v>230</v>
      </c>
      <c r="P90" s="28" t="s">
        <v>231</v>
      </c>
    </row>
    <row r="91" spans="4:16" ht="15.75" x14ac:dyDescent="0.25">
      <c r="D91" s="16" t="s">
        <v>192</v>
      </c>
      <c r="E91" s="15" t="s">
        <v>243</v>
      </c>
      <c r="F91">
        <f t="shared" si="1"/>
        <v>3</v>
      </c>
      <c r="G91" s="44">
        <v>1</v>
      </c>
      <c r="H91" s="45">
        <v>45878.950694444444</v>
      </c>
      <c r="I91" s="30">
        <v>1.4368055555555557</v>
      </c>
      <c r="J91" s="46">
        <v>45881</v>
      </c>
      <c r="K91" s="47" t="s">
        <v>227</v>
      </c>
      <c r="L91" s="28" t="s">
        <v>228</v>
      </c>
      <c r="M91" s="28" t="s">
        <v>236</v>
      </c>
      <c r="N91" s="28">
        <v>9</v>
      </c>
      <c r="O91" s="28" t="s">
        <v>230</v>
      </c>
      <c r="P91" s="28" t="s">
        <v>231</v>
      </c>
    </row>
    <row r="92" spans="4:16" ht="15.75" x14ac:dyDescent="0.25">
      <c r="D92" s="16" t="s">
        <v>193</v>
      </c>
      <c r="E92" s="15" t="s">
        <v>244</v>
      </c>
      <c r="F92">
        <f t="shared" si="1"/>
        <v>3</v>
      </c>
      <c r="G92" s="44">
        <v>1</v>
      </c>
      <c r="H92" s="45">
        <v>45877.522916666669</v>
      </c>
      <c r="I92" s="30">
        <v>2.9756944444444446</v>
      </c>
      <c r="J92" s="46">
        <v>45881</v>
      </c>
      <c r="K92" s="47" t="s">
        <v>227</v>
      </c>
      <c r="L92" s="28" t="s">
        <v>228</v>
      </c>
      <c r="M92" s="28" t="s">
        <v>236</v>
      </c>
      <c r="N92" s="28">
        <v>10</v>
      </c>
      <c r="O92" s="28" t="s">
        <v>230</v>
      </c>
      <c r="P92" s="28" t="s">
        <v>239</v>
      </c>
    </row>
    <row r="93" spans="4:16" ht="15.75" x14ac:dyDescent="0.25">
      <c r="D93" s="16" t="s">
        <v>194</v>
      </c>
      <c r="E93" s="15" t="s">
        <v>245</v>
      </c>
      <c r="F93">
        <f t="shared" si="1"/>
        <v>3</v>
      </c>
      <c r="G93" s="44">
        <v>1</v>
      </c>
      <c r="H93" s="45">
        <v>45884.397222222222</v>
      </c>
      <c r="I93" s="30">
        <v>5.486111111111111E-2</v>
      </c>
      <c r="J93" s="46">
        <v>45884.397222222222</v>
      </c>
      <c r="K93" s="47" t="s">
        <v>227</v>
      </c>
      <c r="L93" s="28" t="s">
        <v>228</v>
      </c>
      <c r="M93" s="28" t="s">
        <v>236</v>
      </c>
      <c r="N93" s="28">
        <v>11</v>
      </c>
      <c r="O93" s="28" t="s">
        <v>230</v>
      </c>
      <c r="P93" s="28" t="s">
        <v>231</v>
      </c>
    </row>
    <row r="94" spans="4:16" ht="15.75" x14ac:dyDescent="0.25">
      <c r="D94" s="16" t="s">
        <v>195</v>
      </c>
      <c r="E94" s="15" t="s">
        <v>246</v>
      </c>
      <c r="F94">
        <f t="shared" si="1"/>
        <v>3</v>
      </c>
      <c r="G94" s="44">
        <v>1</v>
      </c>
      <c r="H94" s="45">
        <v>45884.006249999999</v>
      </c>
      <c r="I94" s="30">
        <v>0.44722222222222219</v>
      </c>
      <c r="J94" s="46">
        <v>45884.006249999999</v>
      </c>
      <c r="K94" s="47" t="s">
        <v>227</v>
      </c>
      <c r="L94" s="28" t="s">
        <v>228</v>
      </c>
      <c r="M94" s="28" t="s">
        <v>236</v>
      </c>
      <c r="N94" s="28">
        <v>12</v>
      </c>
      <c r="O94" s="28" t="s">
        <v>230</v>
      </c>
      <c r="P94" s="28" t="s">
        <v>231</v>
      </c>
    </row>
    <row r="95" spans="4:16" ht="15.75" x14ac:dyDescent="0.25">
      <c r="D95" s="16" t="s">
        <v>196</v>
      </c>
      <c r="E95" s="15" t="s">
        <v>247</v>
      </c>
      <c r="F95">
        <f t="shared" si="1"/>
        <v>3</v>
      </c>
      <c r="G95" s="44">
        <v>1</v>
      </c>
      <c r="H95" s="45">
        <v>45888.756944444445</v>
      </c>
      <c r="I95" s="30">
        <v>0.69166666666666676</v>
      </c>
      <c r="J95" s="46">
        <v>45889.756944444445</v>
      </c>
      <c r="K95" s="47" t="s">
        <v>227</v>
      </c>
      <c r="L95" s="28" t="s">
        <v>228</v>
      </c>
      <c r="M95" s="28" t="s">
        <v>236</v>
      </c>
      <c r="N95" s="28">
        <v>13</v>
      </c>
      <c r="O95" s="28" t="s">
        <v>230</v>
      </c>
      <c r="P95" s="28" t="s">
        <v>231</v>
      </c>
    </row>
    <row r="96" spans="4:16" ht="15.75" x14ac:dyDescent="0.25">
      <c r="D96" s="16" t="s">
        <v>197</v>
      </c>
      <c r="E96" s="15" t="s">
        <v>248</v>
      </c>
      <c r="F96">
        <f t="shared" si="1"/>
        <v>3</v>
      </c>
      <c r="G96" s="44">
        <v>1</v>
      </c>
      <c r="H96" s="45">
        <v>45889.740277777775</v>
      </c>
      <c r="I96" s="30">
        <v>1.7645833333333334</v>
      </c>
      <c r="J96" s="46">
        <v>45891</v>
      </c>
      <c r="K96" s="47" t="s">
        <v>227</v>
      </c>
      <c r="L96" s="28" t="s">
        <v>228</v>
      </c>
      <c r="M96" s="28" t="s">
        <v>236</v>
      </c>
      <c r="N96" s="28">
        <v>14</v>
      </c>
      <c r="O96" s="28" t="s">
        <v>230</v>
      </c>
      <c r="P96" s="28" t="s">
        <v>231</v>
      </c>
    </row>
    <row r="97" spans="4:16" ht="15.75" x14ac:dyDescent="0.25">
      <c r="D97" s="16" t="s">
        <v>198</v>
      </c>
      <c r="E97" s="15" t="s">
        <v>249</v>
      </c>
      <c r="F97">
        <f t="shared" si="1"/>
        <v>3</v>
      </c>
      <c r="G97" s="44">
        <v>1</v>
      </c>
      <c r="H97" s="45">
        <v>45895.569444444445</v>
      </c>
      <c r="I97" s="30">
        <v>0.89444444444444438</v>
      </c>
      <c r="J97" s="46">
        <v>45896</v>
      </c>
      <c r="K97" s="47" t="s">
        <v>227</v>
      </c>
      <c r="L97" s="28" t="s">
        <v>228</v>
      </c>
      <c r="M97" s="28" t="s">
        <v>236</v>
      </c>
      <c r="N97" s="28">
        <v>15</v>
      </c>
      <c r="O97" s="28" t="s">
        <v>230</v>
      </c>
      <c r="P97" s="28" t="s">
        <v>231</v>
      </c>
    </row>
    <row r="98" spans="4:16" ht="15.75" x14ac:dyDescent="0.25">
      <c r="D98" s="16" t="s">
        <v>199</v>
      </c>
      <c r="E98" s="15" t="s">
        <v>250</v>
      </c>
      <c r="F98">
        <f t="shared" si="1"/>
        <v>3</v>
      </c>
      <c r="G98" s="44">
        <v>1</v>
      </c>
      <c r="H98" s="45">
        <v>45896.723611111112</v>
      </c>
      <c r="I98" s="30">
        <v>1.7680555555555555</v>
      </c>
      <c r="J98" s="46">
        <v>45898</v>
      </c>
      <c r="K98" s="47" t="s">
        <v>227</v>
      </c>
      <c r="L98" s="28" t="s">
        <v>228</v>
      </c>
      <c r="M98" s="28" t="s">
        <v>236</v>
      </c>
      <c r="N98" s="28">
        <v>16</v>
      </c>
      <c r="O98" s="28" t="s">
        <v>230</v>
      </c>
      <c r="P98" s="28" t="s">
        <v>231</v>
      </c>
    </row>
    <row r="99" spans="4:16" ht="15.75" x14ac:dyDescent="0.25">
      <c r="D99" s="16" t="s">
        <v>200</v>
      </c>
      <c r="E99" s="15" t="s">
        <v>251</v>
      </c>
      <c r="F99">
        <f t="shared" si="1"/>
        <v>3</v>
      </c>
      <c r="G99" s="44">
        <v>1</v>
      </c>
      <c r="H99" s="45">
        <v>45896.722222222219</v>
      </c>
      <c r="I99" s="30">
        <v>1.76875</v>
      </c>
      <c r="J99" s="46">
        <v>45898</v>
      </c>
      <c r="K99" s="47" t="s">
        <v>227</v>
      </c>
      <c r="L99" s="28" t="s">
        <v>228</v>
      </c>
      <c r="M99" s="28" t="s">
        <v>236</v>
      </c>
      <c r="N99" s="28">
        <v>17</v>
      </c>
      <c r="O99" s="28" t="s">
        <v>230</v>
      </c>
      <c r="P99" s="28" t="s">
        <v>231</v>
      </c>
    </row>
    <row r="100" spans="4:16" ht="15.75" x14ac:dyDescent="0.25">
      <c r="D100" s="16">
        <v>377702</v>
      </c>
      <c r="E100" s="15" t="s">
        <v>252</v>
      </c>
      <c r="F100">
        <f t="shared" si="1"/>
        <v>3</v>
      </c>
      <c r="G100" s="44">
        <v>1</v>
      </c>
      <c r="H100" s="45">
        <v>45899.65902777778</v>
      </c>
      <c r="I100" s="30">
        <v>1.7736111111111112</v>
      </c>
      <c r="J100" s="46">
        <v>45901</v>
      </c>
      <c r="K100" s="47" t="s">
        <v>227</v>
      </c>
      <c r="L100" s="28" t="s">
        <v>228</v>
      </c>
      <c r="M100" s="28" t="s">
        <v>236</v>
      </c>
      <c r="N100" s="28">
        <v>18</v>
      </c>
      <c r="O100" s="28" t="s">
        <v>230</v>
      </c>
      <c r="P100" s="28" t="s">
        <v>231</v>
      </c>
    </row>
    <row r="101" spans="4:16" ht="15.75" x14ac:dyDescent="0.25">
      <c r="D101" s="16" t="s">
        <v>201</v>
      </c>
      <c r="E101" s="15" t="s">
        <v>253</v>
      </c>
      <c r="F101">
        <f t="shared" si="1"/>
        <v>3</v>
      </c>
      <c r="G101" s="44">
        <v>1</v>
      </c>
      <c r="H101" s="45">
        <v>45901.377083333333</v>
      </c>
      <c r="I101" s="30">
        <v>2.1097222222222221</v>
      </c>
      <c r="J101" s="46">
        <v>45903</v>
      </c>
      <c r="K101" s="47" t="s">
        <v>227</v>
      </c>
      <c r="L101" s="28" t="s">
        <v>228</v>
      </c>
      <c r="M101" s="28" t="s">
        <v>236</v>
      </c>
      <c r="N101" s="28">
        <v>19</v>
      </c>
      <c r="O101" s="28" t="s">
        <v>230</v>
      </c>
      <c r="P101" s="28" t="s">
        <v>231</v>
      </c>
    </row>
    <row r="102" spans="4:16" ht="15.75" x14ac:dyDescent="0.25">
      <c r="D102" s="17" t="s">
        <v>16</v>
      </c>
      <c r="E102" s="3" t="s">
        <v>254</v>
      </c>
      <c r="F102">
        <f t="shared" si="1"/>
        <v>6</v>
      </c>
      <c r="G102" s="28">
        <v>2</v>
      </c>
      <c r="H102" s="29">
        <v>45859.666666666664</v>
      </c>
      <c r="I102" s="48">
        <v>1.3888888888888889E-3</v>
      </c>
      <c r="J102" s="41">
        <v>45860.573611111111</v>
      </c>
      <c r="K102" s="28" t="s">
        <v>227</v>
      </c>
      <c r="L102" s="28" t="s">
        <v>228</v>
      </c>
      <c r="M102" s="28" t="s">
        <v>229</v>
      </c>
      <c r="N102" s="28">
        <v>1</v>
      </c>
      <c r="O102" s="49" t="s">
        <v>230</v>
      </c>
      <c r="P102" s="44" t="s">
        <v>231</v>
      </c>
    </row>
    <row r="103" spans="4:16" ht="15.75" x14ac:dyDescent="0.25">
      <c r="D103" s="17" t="s">
        <v>18</v>
      </c>
      <c r="E103" s="3" t="s">
        <v>255</v>
      </c>
      <c r="F103">
        <f t="shared" si="1"/>
        <v>6</v>
      </c>
      <c r="G103" s="28">
        <v>2</v>
      </c>
      <c r="H103" s="29">
        <v>45857.887499999997</v>
      </c>
      <c r="I103" s="48">
        <v>1.7152777777777777</v>
      </c>
      <c r="J103" s="41">
        <v>45860.573611111111</v>
      </c>
      <c r="K103" s="28" t="s">
        <v>227</v>
      </c>
      <c r="L103" s="28" t="s">
        <v>228</v>
      </c>
      <c r="M103" s="28" t="s">
        <v>229</v>
      </c>
      <c r="N103" s="28">
        <v>2</v>
      </c>
      <c r="O103" s="49" t="s">
        <v>230</v>
      </c>
      <c r="P103" s="44" t="s">
        <v>231</v>
      </c>
    </row>
    <row r="104" spans="4:16" ht="15.75" x14ac:dyDescent="0.25">
      <c r="D104" s="17" t="s">
        <v>202</v>
      </c>
      <c r="E104" s="3" t="s">
        <v>256</v>
      </c>
      <c r="F104">
        <f t="shared" si="1"/>
        <v>6</v>
      </c>
      <c r="G104" s="28">
        <v>2</v>
      </c>
      <c r="H104" s="29">
        <v>45858.951388888891</v>
      </c>
      <c r="I104" s="48">
        <v>1.5833333333333333</v>
      </c>
      <c r="J104" s="41">
        <v>45860.573611111111</v>
      </c>
      <c r="K104" s="28" t="s">
        <v>227</v>
      </c>
      <c r="L104" s="28" t="s">
        <v>228</v>
      </c>
      <c r="M104" s="28" t="s">
        <v>229</v>
      </c>
      <c r="N104" s="28">
        <v>3</v>
      </c>
      <c r="O104" s="49" t="s">
        <v>230</v>
      </c>
      <c r="P104" s="44" t="s">
        <v>231</v>
      </c>
    </row>
    <row r="105" spans="4:16" ht="15.75" x14ac:dyDescent="0.25">
      <c r="D105" s="17" t="s">
        <v>48</v>
      </c>
      <c r="E105" s="3" t="s">
        <v>257</v>
      </c>
      <c r="F105">
        <f t="shared" si="1"/>
        <v>6</v>
      </c>
      <c r="G105" s="28">
        <v>2</v>
      </c>
      <c r="H105" s="29">
        <v>45867.811111111114</v>
      </c>
      <c r="I105" s="48">
        <v>0.53680555555555554</v>
      </c>
      <c r="J105" s="41">
        <v>45868.347916666666</v>
      </c>
      <c r="K105" s="28" t="s">
        <v>227</v>
      </c>
      <c r="L105" s="28" t="s">
        <v>228</v>
      </c>
      <c r="M105" s="28" t="s">
        <v>229</v>
      </c>
      <c r="N105" s="28">
        <v>4</v>
      </c>
      <c r="O105" s="49" t="s">
        <v>230</v>
      </c>
      <c r="P105" s="44" t="s">
        <v>231</v>
      </c>
    </row>
    <row r="106" spans="4:16" ht="15.75" x14ac:dyDescent="0.25">
      <c r="D106" s="17" t="s">
        <v>40</v>
      </c>
      <c r="E106" s="3" t="s">
        <v>258</v>
      </c>
      <c r="F106">
        <f t="shared" si="1"/>
        <v>6</v>
      </c>
      <c r="G106" s="28">
        <v>2</v>
      </c>
      <c r="H106" s="29">
        <v>45867.498611111114</v>
      </c>
      <c r="I106" s="48">
        <v>0.85555555555555551</v>
      </c>
      <c r="J106" s="41">
        <v>45868.347916666666</v>
      </c>
      <c r="K106" s="28" t="s">
        <v>227</v>
      </c>
      <c r="L106" s="28" t="s">
        <v>228</v>
      </c>
      <c r="M106" s="28" t="s">
        <v>229</v>
      </c>
      <c r="N106" s="28">
        <v>5</v>
      </c>
      <c r="O106" s="49" t="s">
        <v>230</v>
      </c>
      <c r="P106" s="44" t="s">
        <v>231</v>
      </c>
    </row>
    <row r="107" spans="4:16" ht="15.75" x14ac:dyDescent="0.25">
      <c r="D107" s="17" t="s">
        <v>203</v>
      </c>
      <c r="E107" s="3" t="s">
        <v>259</v>
      </c>
      <c r="F107">
        <f t="shared" si="1"/>
        <v>6</v>
      </c>
      <c r="G107" s="28">
        <v>2</v>
      </c>
      <c r="H107" s="29">
        <v>45865.8125</v>
      </c>
      <c r="I107" s="48">
        <v>2.5527777777777776</v>
      </c>
      <c r="J107" s="41">
        <v>45868.347916666666</v>
      </c>
      <c r="K107" s="28" t="s">
        <v>227</v>
      </c>
      <c r="L107" s="28" t="s">
        <v>228</v>
      </c>
      <c r="M107" s="28" t="s">
        <v>229</v>
      </c>
      <c r="N107" s="28">
        <v>6</v>
      </c>
      <c r="O107" s="49" t="s">
        <v>230</v>
      </c>
      <c r="P107" s="44" t="s">
        <v>231</v>
      </c>
    </row>
    <row r="108" spans="4:16" ht="15.75" x14ac:dyDescent="0.25">
      <c r="D108" s="17" t="s">
        <v>22</v>
      </c>
      <c r="E108" s="3" t="s">
        <v>260</v>
      </c>
      <c r="F108">
        <f t="shared" si="1"/>
        <v>6</v>
      </c>
      <c r="G108" s="28">
        <v>2</v>
      </c>
      <c r="H108" s="29">
        <v>45866.649305555555</v>
      </c>
      <c r="I108" s="48">
        <v>1.7375</v>
      </c>
      <c r="J108" s="41">
        <v>45868.347916666666</v>
      </c>
      <c r="K108" s="28" t="s">
        <v>227</v>
      </c>
      <c r="L108" s="28" t="s">
        <v>228</v>
      </c>
      <c r="M108" s="28" t="s">
        <v>229</v>
      </c>
      <c r="N108" s="28">
        <v>7</v>
      </c>
      <c r="O108" s="49" t="s">
        <v>230</v>
      </c>
      <c r="P108" s="44" t="s">
        <v>231</v>
      </c>
    </row>
    <row r="109" spans="4:16" ht="15.75" x14ac:dyDescent="0.25">
      <c r="D109" s="17" t="s">
        <v>30</v>
      </c>
      <c r="E109" s="3" t="s">
        <v>261</v>
      </c>
      <c r="F109">
        <f t="shared" si="1"/>
        <v>6</v>
      </c>
      <c r="G109" s="28">
        <v>2</v>
      </c>
      <c r="H109" s="29">
        <v>45866.677083333336</v>
      </c>
      <c r="I109" s="48">
        <v>1.711111111111111</v>
      </c>
      <c r="J109" s="41">
        <v>45868.347916666666</v>
      </c>
      <c r="K109" s="28" t="s">
        <v>227</v>
      </c>
      <c r="L109" s="28" t="s">
        <v>228</v>
      </c>
      <c r="M109" s="28" t="s">
        <v>229</v>
      </c>
      <c r="N109" s="28">
        <v>8</v>
      </c>
      <c r="O109" s="49" t="s">
        <v>230</v>
      </c>
      <c r="P109" s="44" t="s">
        <v>231</v>
      </c>
    </row>
    <row r="110" spans="4:16" ht="15.75" x14ac:dyDescent="0.25">
      <c r="D110" s="17" t="s">
        <v>32</v>
      </c>
      <c r="E110" s="3" t="s">
        <v>262</v>
      </c>
      <c r="F110">
        <f t="shared" si="1"/>
        <v>6</v>
      </c>
      <c r="G110" s="28">
        <v>2</v>
      </c>
      <c r="H110" s="29">
        <v>45868.324999999997</v>
      </c>
      <c r="I110" s="48">
        <v>0.13263888888888889</v>
      </c>
      <c r="J110" s="41">
        <v>45868.347916666666</v>
      </c>
      <c r="K110" s="28" t="s">
        <v>227</v>
      </c>
      <c r="L110" s="28" t="s">
        <v>228</v>
      </c>
      <c r="M110" s="28" t="s">
        <v>229</v>
      </c>
      <c r="N110" s="28">
        <v>9</v>
      </c>
      <c r="O110" s="49" t="s">
        <v>230</v>
      </c>
      <c r="P110" s="44" t="s">
        <v>231</v>
      </c>
    </row>
    <row r="111" spans="4:16" ht="15.75" x14ac:dyDescent="0.25">
      <c r="D111" s="17" t="s">
        <v>36</v>
      </c>
      <c r="E111" s="3" t="s">
        <v>263</v>
      </c>
      <c r="F111">
        <f t="shared" si="1"/>
        <v>6</v>
      </c>
      <c r="G111" s="28">
        <v>2</v>
      </c>
      <c r="H111" s="29">
        <v>45867.368055555555</v>
      </c>
      <c r="I111" s="48">
        <v>1.0909722222222222</v>
      </c>
      <c r="J111" s="41">
        <v>45868.347916666666</v>
      </c>
      <c r="K111" s="28" t="s">
        <v>227</v>
      </c>
      <c r="L111" s="28" t="s">
        <v>228</v>
      </c>
      <c r="M111" s="28" t="s">
        <v>229</v>
      </c>
      <c r="N111" s="28">
        <v>10</v>
      </c>
      <c r="O111" s="49" t="s">
        <v>230</v>
      </c>
      <c r="P111" s="44" t="s">
        <v>231</v>
      </c>
    </row>
    <row r="112" spans="4:16" ht="15.75" x14ac:dyDescent="0.25">
      <c r="D112" s="17" t="s">
        <v>44</v>
      </c>
      <c r="E112" s="3" t="s">
        <v>264</v>
      </c>
      <c r="F112">
        <f t="shared" si="1"/>
        <v>6</v>
      </c>
      <c r="G112" s="28">
        <v>2</v>
      </c>
      <c r="H112" s="29">
        <v>45868.270833333336</v>
      </c>
      <c r="I112" s="48">
        <v>0.19444444444444445</v>
      </c>
      <c r="J112" s="41">
        <v>45868.347916666666</v>
      </c>
      <c r="K112" s="28" t="s">
        <v>227</v>
      </c>
      <c r="L112" s="28" t="s">
        <v>228</v>
      </c>
      <c r="M112" s="28" t="s">
        <v>229</v>
      </c>
      <c r="N112" s="28">
        <v>11</v>
      </c>
      <c r="O112" s="49" t="s">
        <v>230</v>
      </c>
      <c r="P112" s="44" t="s">
        <v>231</v>
      </c>
    </row>
    <row r="113" spans="4:16" ht="15.75" x14ac:dyDescent="0.25">
      <c r="D113" s="17" t="s">
        <v>34</v>
      </c>
      <c r="E113" s="3" t="s">
        <v>265</v>
      </c>
      <c r="F113">
        <f t="shared" si="1"/>
        <v>6</v>
      </c>
      <c r="G113" s="28">
        <v>2</v>
      </c>
      <c r="H113" s="29">
        <v>45867.797222222223</v>
      </c>
      <c r="I113" s="48">
        <v>0.6694444444444444</v>
      </c>
      <c r="J113" s="41">
        <v>45868.347916666666</v>
      </c>
      <c r="K113" s="28" t="s">
        <v>227</v>
      </c>
      <c r="L113" s="28" t="s">
        <v>228</v>
      </c>
      <c r="M113" s="28" t="s">
        <v>229</v>
      </c>
      <c r="N113" s="28">
        <v>12</v>
      </c>
      <c r="O113" s="49" t="s">
        <v>230</v>
      </c>
      <c r="P113" s="44" t="s">
        <v>231</v>
      </c>
    </row>
    <row r="114" spans="4:16" ht="15.75" x14ac:dyDescent="0.25">
      <c r="D114" s="17" t="s">
        <v>204</v>
      </c>
      <c r="E114" s="3" t="s">
        <v>266</v>
      </c>
      <c r="F114">
        <f t="shared" si="1"/>
        <v>6</v>
      </c>
      <c r="G114" s="28">
        <v>2</v>
      </c>
      <c r="H114" s="29">
        <v>45870.753472222219</v>
      </c>
      <c r="I114" s="48">
        <v>0.6020833333333333</v>
      </c>
      <c r="J114" s="41">
        <v>45873</v>
      </c>
      <c r="K114" s="28" t="s">
        <v>227</v>
      </c>
      <c r="L114" s="28" t="s">
        <v>228</v>
      </c>
      <c r="M114" s="28" t="s">
        <v>229</v>
      </c>
      <c r="N114" s="28">
        <v>13</v>
      </c>
      <c r="O114" s="49" t="s">
        <v>230</v>
      </c>
      <c r="P114" s="44" t="s">
        <v>231</v>
      </c>
    </row>
    <row r="115" spans="4:16" ht="15.75" x14ac:dyDescent="0.25">
      <c r="D115" s="17" t="s">
        <v>26</v>
      </c>
      <c r="E115" s="3" t="s">
        <v>267</v>
      </c>
      <c r="F115">
        <f t="shared" si="1"/>
        <v>6</v>
      </c>
      <c r="G115" s="28">
        <v>2</v>
      </c>
      <c r="H115" s="29">
        <v>45870.820833333331</v>
      </c>
      <c r="I115" s="48">
        <v>0.53611111111111109</v>
      </c>
      <c r="J115" s="41">
        <v>45873</v>
      </c>
      <c r="K115" s="28" t="s">
        <v>227</v>
      </c>
      <c r="L115" s="28" t="s">
        <v>228</v>
      </c>
      <c r="M115" s="28" t="s">
        <v>229</v>
      </c>
      <c r="N115" s="28">
        <v>14</v>
      </c>
      <c r="O115" s="49" t="s">
        <v>230</v>
      </c>
      <c r="P115" s="44" t="s">
        <v>231</v>
      </c>
    </row>
    <row r="116" spans="4:16" ht="15.75" x14ac:dyDescent="0.25">
      <c r="D116" s="17" t="s">
        <v>54</v>
      </c>
      <c r="E116" s="3" t="s">
        <v>268</v>
      </c>
      <c r="F116">
        <f t="shared" si="1"/>
        <v>6</v>
      </c>
      <c r="G116" s="28">
        <v>2</v>
      </c>
      <c r="H116" s="29">
        <v>45869.84375</v>
      </c>
      <c r="I116" s="48">
        <v>1.5284722222222222</v>
      </c>
      <c r="J116" s="41">
        <v>45873</v>
      </c>
      <c r="K116" s="28" t="s">
        <v>227</v>
      </c>
      <c r="L116" s="28" t="s">
        <v>228</v>
      </c>
      <c r="M116" s="28" t="s">
        <v>229</v>
      </c>
      <c r="N116" s="28">
        <v>15</v>
      </c>
      <c r="O116" s="49" t="s">
        <v>230</v>
      </c>
      <c r="P116" s="44" t="s">
        <v>231</v>
      </c>
    </row>
    <row r="117" spans="4:16" ht="15.75" x14ac:dyDescent="0.25">
      <c r="D117" s="17" t="s">
        <v>205</v>
      </c>
      <c r="E117" s="3" t="s">
        <v>269</v>
      </c>
      <c r="F117">
        <f t="shared" si="1"/>
        <v>6</v>
      </c>
      <c r="G117" s="28">
        <v>2</v>
      </c>
      <c r="H117" s="29">
        <v>45869.815972222219</v>
      </c>
      <c r="I117" s="48">
        <v>1.5666666666666667</v>
      </c>
      <c r="J117" s="41">
        <v>45873</v>
      </c>
      <c r="K117" s="28" t="s">
        <v>227</v>
      </c>
      <c r="L117" s="28" t="s">
        <v>228</v>
      </c>
      <c r="M117" s="28" t="s">
        <v>229</v>
      </c>
      <c r="N117" s="28">
        <v>16</v>
      </c>
      <c r="O117" s="49" t="s">
        <v>230</v>
      </c>
      <c r="P117" s="44" t="s">
        <v>231</v>
      </c>
    </row>
    <row r="118" spans="4:16" ht="15.75" x14ac:dyDescent="0.25">
      <c r="D118" s="17" t="s">
        <v>80</v>
      </c>
      <c r="E118" s="3" t="s">
        <v>270</v>
      </c>
      <c r="F118">
        <f t="shared" si="1"/>
        <v>6</v>
      </c>
      <c r="G118" s="28">
        <v>2</v>
      </c>
      <c r="H118" s="29">
        <v>45871.330555555556</v>
      </c>
      <c r="I118" s="48">
        <v>9.7222222222222224E-2</v>
      </c>
      <c r="J118" s="41">
        <v>45873</v>
      </c>
      <c r="K118" s="28" t="s">
        <v>227</v>
      </c>
      <c r="L118" s="28" t="s">
        <v>228</v>
      </c>
      <c r="M118" s="28" t="s">
        <v>229</v>
      </c>
      <c r="N118" s="28">
        <v>17</v>
      </c>
      <c r="O118" s="49" t="s">
        <v>230</v>
      </c>
      <c r="P118" s="44" t="s">
        <v>231</v>
      </c>
    </row>
    <row r="119" spans="4:16" ht="15.75" x14ac:dyDescent="0.25">
      <c r="D119" s="18" t="s">
        <v>78</v>
      </c>
      <c r="E119" s="3" t="s">
        <v>271</v>
      </c>
      <c r="F119">
        <f t="shared" si="1"/>
        <v>6</v>
      </c>
      <c r="G119" s="36">
        <v>2</v>
      </c>
      <c r="H119" s="42">
        <v>45870.756249999999</v>
      </c>
      <c r="I119" s="50">
        <v>0.67361111111111116</v>
      </c>
      <c r="J119" s="43">
        <v>45873</v>
      </c>
      <c r="K119" s="36" t="s">
        <v>227</v>
      </c>
      <c r="L119" s="36" t="s">
        <v>228</v>
      </c>
      <c r="M119" s="28" t="s">
        <v>229</v>
      </c>
      <c r="N119" s="36">
        <v>18</v>
      </c>
      <c r="O119" s="51" t="s">
        <v>230</v>
      </c>
      <c r="P119" s="44" t="s">
        <v>231</v>
      </c>
    </row>
    <row r="120" spans="4:16" ht="15.75" x14ac:dyDescent="0.25">
      <c r="D120" s="19" t="s">
        <v>46</v>
      </c>
      <c r="E120" s="3" t="s">
        <v>272</v>
      </c>
      <c r="F120">
        <f t="shared" si="1"/>
        <v>6</v>
      </c>
      <c r="G120" s="44">
        <v>2</v>
      </c>
      <c r="H120" s="37">
        <v>45873.260416666664</v>
      </c>
      <c r="I120" s="50">
        <v>0.17916666666666667</v>
      </c>
      <c r="J120" s="43">
        <v>45873</v>
      </c>
      <c r="K120" s="36" t="s">
        <v>227</v>
      </c>
      <c r="L120" s="36" t="s">
        <v>228</v>
      </c>
      <c r="M120" s="28" t="s">
        <v>229</v>
      </c>
      <c r="N120" s="36">
        <v>19</v>
      </c>
      <c r="O120" s="51" t="s">
        <v>230</v>
      </c>
      <c r="P120" s="44" t="s">
        <v>231</v>
      </c>
    </row>
    <row r="121" spans="4:16" ht="15.75" x14ac:dyDescent="0.25">
      <c r="D121" s="19" t="s">
        <v>24</v>
      </c>
      <c r="E121" s="3" t="s">
        <v>273</v>
      </c>
      <c r="F121">
        <f t="shared" si="1"/>
        <v>6</v>
      </c>
      <c r="G121" s="44">
        <v>2</v>
      </c>
      <c r="H121" s="37">
        <v>45872.827777777777</v>
      </c>
      <c r="I121" s="50">
        <v>0.61805555555555558</v>
      </c>
      <c r="J121" s="43">
        <v>45873</v>
      </c>
      <c r="K121" s="36" t="s">
        <v>227</v>
      </c>
      <c r="L121" s="36" t="s">
        <v>228</v>
      </c>
      <c r="M121" s="28" t="s">
        <v>229</v>
      </c>
      <c r="N121" s="36">
        <v>20</v>
      </c>
      <c r="O121" s="51" t="s">
        <v>230</v>
      </c>
      <c r="P121" s="44" t="s">
        <v>231</v>
      </c>
    </row>
    <row r="122" spans="4:16" ht="15.75" x14ac:dyDescent="0.25">
      <c r="D122" s="19" t="s">
        <v>62</v>
      </c>
      <c r="E122" s="3" t="s">
        <v>274</v>
      </c>
      <c r="F122">
        <f t="shared" si="1"/>
        <v>6</v>
      </c>
      <c r="G122" s="44">
        <v>2</v>
      </c>
      <c r="H122" s="37">
        <v>45872.493055555555</v>
      </c>
      <c r="I122" s="50">
        <v>0.95347222222222217</v>
      </c>
      <c r="J122" s="43">
        <v>45873</v>
      </c>
      <c r="K122" s="36" t="s">
        <v>227</v>
      </c>
      <c r="L122" s="36" t="s">
        <v>228</v>
      </c>
      <c r="M122" s="28" t="s">
        <v>229</v>
      </c>
      <c r="N122" s="36">
        <v>21</v>
      </c>
      <c r="O122" s="51" t="s">
        <v>230</v>
      </c>
      <c r="P122" s="44" t="s">
        <v>231</v>
      </c>
    </row>
    <row r="123" spans="4:16" ht="15.75" x14ac:dyDescent="0.25">
      <c r="D123" s="19" t="s">
        <v>70</v>
      </c>
      <c r="E123" s="3" t="s">
        <v>275</v>
      </c>
      <c r="F123">
        <f t="shared" si="1"/>
        <v>6</v>
      </c>
      <c r="G123" s="44">
        <v>2</v>
      </c>
      <c r="H123" s="37">
        <v>45872.902083333334</v>
      </c>
      <c r="I123" s="50">
        <v>0.55277777777777781</v>
      </c>
      <c r="J123" s="43">
        <v>45873</v>
      </c>
      <c r="K123" s="36" t="s">
        <v>227</v>
      </c>
      <c r="L123" s="36" t="s">
        <v>228</v>
      </c>
      <c r="M123" s="28" t="s">
        <v>229</v>
      </c>
      <c r="N123" s="36">
        <v>22</v>
      </c>
      <c r="O123" s="51" t="s">
        <v>230</v>
      </c>
      <c r="P123" s="44" t="s">
        <v>231</v>
      </c>
    </row>
    <row r="124" spans="4:16" ht="15.75" x14ac:dyDescent="0.25">
      <c r="D124" s="19" t="s">
        <v>68</v>
      </c>
      <c r="E124" s="3" t="s">
        <v>276</v>
      </c>
      <c r="F124">
        <f t="shared" si="1"/>
        <v>6</v>
      </c>
      <c r="G124" s="44">
        <v>2</v>
      </c>
      <c r="H124" s="37">
        <v>45872.797222222223</v>
      </c>
      <c r="I124" s="50">
        <v>0.65902777777777777</v>
      </c>
      <c r="J124" s="43">
        <v>45873</v>
      </c>
      <c r="K124" s="36" t="s">
        <v>227</v>
      </c>
      <c r="L124" s="36" t="s">
        <v>228</v>
      </c>
      <c r="M124" s="28" t="s">
        <v>229</v>
      </c>
      <c r="N124" s="36">
        <v>23</v>
      </c>
      <c r="O124" s="51" t="s">
        <v>230</v>
      </c>
      <c r="P124" s="44" t="s">
        <v>231</v>
      </c>
    </row>
    <row r="125" spans="4:16" ht="15.75" x14ac:dyDescent="0.25">
      <c r="D125" s="20" t="s">
        <v>50</v>
      </c>
      <c r="E125" s="3" t="s">
        <v>277</v>
      </c>
      <c r="F125">
        <f t="shared" si="1"/>
        <v>6</v>
      </c>
      <c r="G125" s="52">
        <v>2</v>
      </c>
      <c r="H125" s="37">
        <v>45873.597222222219</v>
      </c>
      <c r="I125" s="53">
        <v>3.472222222222222E-3</v>
      </c>
      <c r="J125" s="54">
        <v>45873</v>
      </c>
      <c r="K125" s="36" t="s">
        <v>227</v>
      </c>
      <c r="L125" s="36" t="s">
        <v>228</v>
      </c>
      <c r="M125" s="28" t="s">
        <v>229</v>
      </c>
      <c r="N125" s="36">
        <v>24</v>
      </c>
      <c r="O125" s="51" t="s">
        <v>230</v>
      </c>
      <c r="P125" s="44" t="s">
        <v>231</v>
      </c>
    </row>
    <row r="126" spans="4:16" ht="15.75" x14ac:dyDescent="0.25">
      <c r="D126" s="20" t="s">
        <v>206</v>
      </c>
      <c r="E126" s="3" t="s">
        <v>278</v>
      </c>
      <c r="F126">
        <f t="shared" si="1"/>
        <v>6</v>
      </c>
      <c r="G126" s="52">
        <v>2</v>
      </c>
      <c r="H126" s="37">
        <v>45875.909722222219</v>
      </c>
      <c r="I126" s="53">
        <v>0.4993055555555555</v>
      </c>
      <c r="J126" s="54">
        <v>45876</v>
      </c>
      <c r="K126" s="36" t="s">
        <v>227</v>
      </c>
      <c r="L126" s="36" t="s">
        <v>228</v>
      </c>
      <c r="M126" s="28" t="s">
        <v>229</v>
      </c>
      <c r="N126" s="36">
        <v>25</v>
      </c>
      <c r="O126" s="51" t="s">
        <v>230</v>
      </c>
      <c r="P126" s="44" t="s">
        <v>231</v>
      </c>
    </row>
    <row r="127" spans="4:16" ht="15.75" x14ac:dyDescent="0.25">
      <c r="D127" s="20" t="s">
        <v>56</v>
      </c>
      <c r="E127" s="3" t="s">
        <v>279</v>
      </c>
      <c r="F127">
        <f t="shared" si="1"/>
        <v>6</v>
      </c>
      <c r="G127" s="52">
        <v>2</v>
      </c>
      <c r="H127" s="37">
        <v>45875.896527777775</v>
      </c>
      <c r="I127" s="53">
        <v>0.51388888888888895</v>
      </c>
      <c r="J127" s="54">
        <v>45876</v>
      </c>
      <c r="K127" s="36" t="s">
        <v>227</v>
      </c>
      <c r="L127" s="36" t="s">
        <v>228</v>
      </c>
      <c r="M127" s="28" t="s">
        <v>229</v>
      </c>
      <c r="N127" s="36">
        <v>26</v>
      </c>
      <c r="O127" s="51" t="s">
        <v>230</v>
      </c>
      <c r="P127" s="44" t="s">
        <v>231</v>
      </c>
    </row>
    <row r="128" spans="4:16" ht="15.75" x14ac:dyDescent="0.25">
      <c r="D128" s="20" t="s">
        <v>52</v>
      </c>
      <c r="E128" s="3" t="s">
        <v>280</v>
      </c>
      <c r="F128">
        <f t="shared" si="1"/>
        <v>6</v>
      </c>
      <c r="G128" s="52">
        <v>2</v>
      </c>
      <c r="H128" s="37">
        <v>45874.798611111109</v>
      </c>
      <c r="I128" s="53">
        <v>1.6263888888888889</v>
      </c>
      <c r="J128" s="54">
        <v>45876</v>
      </c>
      <c r="K128" s="36" t="s">
        <v>227</v>
      </c>
      <c r="L128" s="36" t="s">
        <v>228</v>
      </c>
      <c r="M128" s="28" t="s">
        <v>229</v>
      </c>
      <c r="N128" s="36">
        <v>27</v>
      </c>
      <c r="O128" s="51" t="s">
        <v>230</v>
      </c>
      <c r="P128" s="44" t="s">
        <v>231</v>
      </c>
    </row>
    <row r="129" spans="4:16" ht="15.75" x14ac:dyDescent="0.25">
      <c r="D129" s="20" t="s">
        <v>74</v>
      </c>
      <c r="E129" s="3" t="s">
        <v>281</v>
      </c>
      <c r="F129">
        <f t="shared" si="1"/>
        <v>6</v>
      </c>
      <c r="G129" s="52">
        <v>2</v>
      </c>
      <c r="H129" s="37">
        <v>45875.495833333334</v>
      </c>
      <c r="I129" s="53">
        <v>0.93263888888888891</v>
      </c>
      <c r="J129" s="54">
        <v>45876</v>
      </c>
      <c r="K129" s="36" t="s">
        <v>227</v>
      </c>
      <c r="L129" s="36" t="s">
        <v>228</v>
      </c>
      <c r="M129" s="28" t="s">
        <v>229</v>
      </c>
      <c r="N129" s="36">
        <v>28</v>
      </c>
      <c r="O129" s="51" t="s">
        <v>230</v>
      </c>
      <c r="P129" s="44" t="s">
        <v>231</v>
      </c>
    </row>
    <row r="130" spans="4:16" ht="15.75" x14ac:dyDescent="0.25">
      <c r="D130" s="19" t="s">
        <v>86</v>
      </c>
      <c r="E130" s="3" t="s">
        <v>282</v>
      </c>
      <c r="F130">
        <f t="shared" si="1"/>
        <v>6</v>
      </c>
      <c r="G130" s="44">
        <v>2</v>
      </c>
      <c r="H130" s="45">
        <v>45878.224305555559</v>
      </c>
      <c r="I130" s="53">
        <v>0.11944444444444445</v>
      </c>
      <c r="J130" s="46">
        <v>45878</v>
      </c>
      <c r="K130" s="44" t="s">
        <v>227</v>
      </c>
      <c r="L130" s="44" t="s">
        <v>228</v>
      </c>
      <c r="M130" s="28" t="s">
        <v>229</v>
      </c>
      <c r="N130" s="44">
        <v>29</v>
      </c>
      <c r="O130" s="55" t="s">
        <v>230</v>
      </c>
      <c r="P130" s="44" t="s">
        <v>231</v>
      </c>
    </row>
    <row r="131" spans="4:16" ht="15.75" x14ac:dyDescent="0.25">
      <c r="D131" s="19" t="s">
        <v>110</v>
      </c>
      <c r="E131" s="3" t="s">
        <v>283</v>
      </c>
      <c r="F131">
        <f t="shared" ref="F131:F194" si="2">VALUE(RIGHT(E131,1))</f>
        <v>6</v>
      </c>
      <c r="G131" s="44">
        <v>2</v>
      </c>
      <c r="H131" s="45">
        <v>45876.374305555553</v>
      </c>
      <c r="I131" s="53">
        <v>1.9763888888888888</v>
      </c>
      <c r="J131" s="46">
        <v>45878</v>
      </c>
      <c r="K131" s="44" t="s">
        <v>227</v>
      </c>
      <c r="L131" s="44" t="s">
        <v>228</v>
      </c>
      <c r="M131" s="28" t="s">
        <v>229</v>
      </c>
      <c r="N131" s="44">
        <v>30</v>
      </c>
      <c r="O131" s="55" t="s">
        <v>230</v>
      </c>
      <c r="P131" s="44" t="s">
        <v>231</v>
      </c>
    </row>
    <row r="132" spans="4:16" ht="15.75" x14ac:dyDescent="0.25">
      <c r="D132" s="19" t="s">
        <v>60</v>
      </c>
      <c r="E132" s="3" t="s">
        <v>284</v>
      </c>
      <c r="F132">
        <f t="shared" si="2"/>
        <v>6</v>
      </c>
      <c r="G132" s="44">
        <v>2</v>
      </c>
      <c r="H132" s="45">
        <v>45878.229166666664</v>
      </c>
      <c r="I132" s="53">
        <v>0.12638888888888888</v>
      </c>
      <c r="J132" s="46">
        <v>45878</v>
      </c>
      <c r="K132" s="44" t="s">
        <v>227</v>
      </c>
      <c r="L132" s="44" t="s">
        <v>228</v>
      </c>
      <c r="M132" s="28" t="s">
        <v>229</v>
      </c>
      <c r="N132" s="44">
        <v>31</v>
      </c>
      <c r="O132" s="55" t="s">
        <v>230</v>
      </c>
      <c r="P132" s="44" t="s">
        <v>240</v>
      </c>
    </row>
    <row r="133" spans="4:16" ht="15.75" x14ac:dyDescent="0.25">
      <c r="D133" s="19" t="s">
        <v>112</v>
      </c>
      <c r="E133" s="3" t="s">
        <v>285</v>
      </c>
      <c r="F133">
        <f t="shared" si="2"/>
        <v>6</v>
      </c>
      <c r="G133" s="44">
        <v>2</v>
      </c>
      <c r="H133" s="45">
        <v>45876.4375</v>
      </c>
      <c r="I133" s="53">
        <v>1.91875</v>
      </c>
      <c r="J133" s="46">
        <v>45878</v>
      </c>
      <c r="K133" s="44" t="s">
        <v>227</v>
      </c>
      <c r="L133" s="44" t="s">
        <v>228</v>
      </c>
      <c r="M133" s="28" t="s">
        <v>229</v>
      </c>
      <c r="N133" s="44">
        <v>32</v>
      </c>
      <c r="O133" s="55" t="s">
        <v>230</v>
      </c>
      <c r="P133" s="44" t="s">
        <v>231</v>
      </c>
    </row>
    <row r="134" spans="4:16" ht="15.75" x14ac:dyDescent="0.25">
      <c r="D134" s="19" t="s">
        <v>38</v>
      </c>
      <c r="E134" s="3" t="s">
        <v>286</v>
      </c>
      <c r="F134">
        <f t="shared" si="2"/>
        <v>6</v>
      </c>
      <c r="G134" s="44">
        <v>2</v>
      </c>
      <c r="H134" s="45">
        <v>45877.569444444445</v>
      </c>
      <c r="I134" s="53">
        <v>0.7909722222222223</v>
      </c>
      <c r="J134" s="46">
        <v>45878</v>
      </c>
      <c r="K134" s="44" t="s">
        <v>227</v>
      </c>
      <c r="L134" s="44" t="s">
        <v>228</v>
      </c>
      <c r="M134" s="28" t="s">
        <v>229</v>
      </c>
      <c r="N134" s="44">
        <v>33</v>
      </c>
      <c r="O134" s="55" t="s">
        <v>230</v>
      </c>
      <c r="P134" s="44" t="s">
        <v>231</v>
      </c>
    </row>
    <row r="135" spans="4:16" ht="15.75" x14ac:dyDescent="0.25">
      <c r="D135" s="19" t="s">
        <v>72</v>
      </c>
      <c r="E135" s="3" t="s">
        <v>287</v>
      </c>
      <c r="F135">
        <f t="shared" si="2"/>
        <v>6</v>
      </c>
      <c r="G135" s="44">
        <v>2</v>
      </c>
      <c r="H135" s="45">
        <v>45877.965277777781</v>
      </c>
      <c r="I135" s="53">
        <v>0.39652777777777781</v>
      </c>
      <c r="J135" s="46">
        <v>45878</v>
      </c>
      <c r="K135" s="44" t="s">
        <v>227</v>
      </c>
      <c r="L135" s="44" t="s">
        <v>228</v>
      </c>
      <c r="M135" s="28" t="s">
        <v>229</v>
      </c>
      <c r="N135" s="44">
        <v>34</v>
      </c>
      <c r="O135" s="44" t="s">
        <v>230</v>
      </c>
      <c r="P135" s="44" t="s">
        <v>231</v>
      </c>
    </row>
    <row r="136" spans="4:16" ht="15.75" x14ac:dyDescent="0.25">
      <c r="D136" s="19" t="s">
        <v>28</v>
      </c>
      <c r="E136" s="3" t="s">
        <v>288</v>
      </c>
      <c r="F136">
        <f t="shared" si="2"/>
        <v>6</v>
      </c>
      <c r="G136" s="44">
        <v>2</v>
      </c>
      <c r="H136" s="45">
        <v>45877.979166666664</v>
      </c>
      <c r="I136" s="53">
        <v>0.44375000000000003</v>
      </c>
      <c r="J136" s="46">
        <v>45878</v>
      </c>
      <c r="K136" s="44" t="s">
        <v>227</v>
      </c>
      <c r="L136" s="44" t="s">
        <v>228</v>
      </c>
      <c r="M136" s="28" t="s">
        <v>229</v>
      </c>
      <c r="N136" s="44">
        <v>35</v>
      </c>
      <c r="O136" s="44" t="s">
        <v>230</v>
      </c>
      <c r="P136" s="44" t="s">
        <v>231</v>
      </c>
    </row>
    <row r="137" spans="4:16" ht="15.75" x14ac:dyDescent="0.25">
      <c r="D137" s="19" t="s">
        <v>64</v>
      </c>
      <c r="E137" s="3" t="s">
        <v>289</v>
      </c>
      <c r="F137">
        <f t="shared" si="2"/>
        <v>6</v>
      </c>
      <c r="G137" s="44">
        <v>2</v>
      </c>
      <c r="H137" s="45">
        <v>45877.649305555555</v>
      </c>
      <c r="I137" s="53">
        <v>0.77430555555555547</v>
      </c>
      <c r="J137" s="46">
        <v>45878</v>
      </c>
      <c r="K137" s="44" t="s">
        <v>227</v>
      </c>
      <c r="L137" s="44" t="s">
        <v>228</v>
      </c>
      <c r="M137" s="28" t="s">
        <v>229</v>
      </c>
      <c r="N137" s="44">
        <v>36</v>
      </c>
      <c r="O137" s="44" t="s">
        <v>230</v>
      </c>
      <c r="P137" s="44" t="s">
        <v>231</v>
      </c>
    </row>
    <row r="138" spans="4:16" ht="15.75" x14ac:dyDescent="0.25">
      <c r="D138" s="20" t="s">
        <v>106</v>
      </c>
      <c r="E138" s="3" t="s">
        <v>290</v>
      </c>
      <c r="F138">
        <f t="shared" si="2"/>
        <v>6</v>
      </c>
      <c r="G138" s="52">
        <v>2</v>
      </c>
      <c r="H138" s="56">
        <v>45877.940972222219</v>
      </c>
      <c r="I138" s="53">
        <v>0.4861111111111111</v>
      </c>
      <c r="J138" s="57">
        <v>45878</v>
      </c>
      <c r="K138" s="52" t="s">
        <v>227</v>
      </c>
      <c r="L138" s="52" t="s">
        <v>228</v>
      </c>
      <c r="M138" s="28" t="s">
        <v>229</v>
      </c>
      <c r="N138" s="44">
        <v>37</v>
      </c>
      <c r="O138" s="44" t="s">
        <v>230</v>
      </c>
      <c r="P138" s="44" t="s">
        <v>231</v>
      </c>
    </row>
    <row r="139" spans="4:16" ht="15.75" x14ac:dyDescent="0.25">
      <c r="D139" s="21" t="s">
        <v>98</v>
      </c>
      <c r="E139" s="3" t="s">
        <v>291</v>
      </c>
      <c r="F139">
        <f t="shared" si="2"/>
        <v>6</v>
      </c>
      <c r="G139" s="44">
        <v>2</v>
      </c>
      <c r="H139" s="45">
        <v>45878</v>
      </c>
      <c r="I139" s="58">
        <v>1.4138888888888888</v>
      </c>
      <c r="J139" s="46">
        <v>45881</v>
      </c>
      <c r="K139" s="44" t="s">
        <v>227</v>
      </c>
      <c r="L139" s="44" t="s">
        <v>228</v>
      </c>
      <c r="M139" s="28" t="s">
        <v>229</v>
      </c>
      <c r="N139" s="44">
        <v>38</v>
      </c>
      <c r="O139" s="44" t="s">
        <v>230</v>
      </c>
      <c r="P139" s="44" t="s">
        <v>231</v>
      </c>
    </row>
    <row r="140" spans="4:16" ht="15.75" x14ac:dyDescent="0.25">
      <c r="D140" s="21" t="s">
        <v>122</v>
      </c>
      <c r="E140" s="3" t="s">
        <v>292</v>
      </c>
      <c r="F140">
        <f t="shared" si="2"/>
        <v>6</v>
      </c>
      <c r="G140" s="44">
        <v>2</v>
      </c>
      <c r="H140" s="59">
        <v>45882.978472222225</v>
      </c>
      <c r="I140" s="58">
        <v>0.43888888888888888</v>
      </c>
      <c r="J140" s="46">
        <v>45884</v>
      </c>
      <c r="K140" s="44" t="s">
        <v>227</v>
      </c>
      <c r="L140" s="44" t="s">
        <v>228</v>
      </c>
      <c r="M140" s="28" t="s">
        <v>229</v>
      </c>
      <c r="N140" s="44">
        <v>39</v>
      </c>
      <c r="O140" s="44" t="s">
        <v>230</v>
      </c>
      <c r="P140" s="44" t="s">
        <v>231</v>
      </c>
    </row>
    <row r="141" spans="4:16" ht="15.75" x14ac:dyDescent="0.25">
      <c r="D141" s="21" t="s">
        <v>90</v>
      </c>
      <c r="E141" s="3" t="s">
        <v>293</v>
      </c>
      <c r="F141">
        <f t="shared" si="2"/>
        <v>6</v>
      </c>
      <c r="G141" s="44">
        <v>2</v>
      </c>
      <c r="H141" s="59">
        <v>45882.959027777775</v>
      </c>
      <c r="I141" s="58">
        <v>0.54375000000000007</v>
      </c>
      <c r="J141" s="46">
        <v>45884</v>
      </c>
      <c r="K141" s="44" t="s">
        <v>227</v>
      </c>
      <c r="L141" s="44" t="s">
        <v>228</v>
      </c>
      <c r="M141" s="28" t="s">
        <v>229</v>
      </c>
      <c r="N141" s="44">
        <v>40</v>
      </c>
      <c r="O141" s="44" t="s">
        <v>230</v>
      </c>
      <c r="P141" s="44" t="s">
        <v>231</v>
      </c>
    </row>
    <row r="142" spans="4:16" ht="15.75" x14ac:dyDescent="0.25">
      <c r="D142" s="21" t="s">
        <v>96</v>
      </c>
      <c r="E142" s="3" t="s">
        <v>294</v>
      </c>
      <c r="F142">
        <f t="shared" si="2"/>
        <v>6</v>
      </c>
      <c r="G142" s="44">
        <v>2</v>
      </c>
      <c r="H142" s="59">
        <v>45884.375</v>
      </c>
      <c r="I142" s="58">
        <v>4.7916666666666663E-2</v>
      </c>
      <c r="J142" s="46">
        <v>45884</v>
      </c>
      <c r="K142" s="44" t="s">
        <v>227</v>
      </c>
      <c r="L142" s="44" t="s">
        <v>228</v>
      </c>
      <c r="M142" s="28" t="s">
        <v>229</v>
      </c>
      <c r="N142" s="44">
        <v>41</v>
      </c>
      <c r="O142" s="44" t="s">
        <v>230</v>
      </c>
      <c r="P142" s="44" t="s">
        <v>231</v>
      </c>
    </row>
    <row r="143" spans="4:16" ht="15.75" x14ac:dyDescent="0.25">
      <c r="D143" s="21" t="s">
        <v>92</v>
      </c>
      <c r="E143" s="3" t="s">
        <v>295</v>
      </c>
      <c r="F143">
        <f t="shared" si="2"/>
        <v>6</v>
      </c>
      <c r="G143" s="44">
        <v>2</v>
      </c>
      <c r="H143" s="59">
        <v>45884.259027777778</v>
      </c>
      <c r="I143" s="58">
        <v>0.17083333333333331</v>
      </c>
      <c r="J143" s="46">
        <v>45884</v>
      </c>
      <c r="K143" s="44" t="s">
        <v>227</v>
      </c>
      <c r="L143" s="44" t="s">
        <v>228</v>
      </c>
      <c r="M143" s="28" t="s">
        <v>229</v>
      </c>
      <c r="N143" s="44">
        <v>42</v>
      </c>
      <c r="O143" s="44" t="s">
        <v>230</v>
      </c>
      <c r="P143" s="44" t="s">
        <v>231</v>
      </c>
    </row>
    <row r="144" spans="4:16" ht="15.75" x14ac:dyDescent="0.25">
      <c r="D144" s="21" t="s">
        <v>84</v>
      </c>
      <c r="E144" s="3" t="s">
        <v>296</v>
      </c>
      <c r="F144">
        <f t="shared" si="2"/>
        <v>6</v>
      </c>
      <c r="G144" s="44">
        <v>2</v>
      </c>
      <c r="H144" s="59">
        <v>45884.51458333333</v>
      </c>
      <c r="I144" s="58">
        <v>2.8708333333333336</v>
      </c>
      <c r="J144" s="46">
        <v>45888</v>
      </c>
      <c r="K144" s="44" t="s">
        <v>227</v>
      </c>
      <c r="L144" s="44" t="s">
        <v>228</v>
      </c>
      <c r="M144" s="28" t="s">
        <v>229</v>
      </c>
      <c r="N144" s="44">
        <v>43</v>
      </c>
      <c r="O144" s="44" t="s">
        <v>230</v>
      </c>
      <c r="P144" s="44" t="s">
        <v>231</v>
      </c>
    </row>
    <row r="145" spans="4:16" ht="15.75" x14ac:dyDescent="0.25">
      <c r="D145" s="21" t="s">
        <v>102</v>
      </c>
      <c r="E145" s="3" t="s">
        <v>297</v>
      </c>
      <c r="F145">
        <f t="shared" si="2"/>
        <v>6</v>
      </c>
      <c r="G145" s="44">
        <v>2</v>
      </c>
      <c r="H145" s="59">
        <v>45885.739583333336</v>
      </c>
      <c r="I145" s="58">
        <v>1.6555555555555557</v>
      </c>
      <c r="J145" s="46">
        <v>45888</v>
      </c>
      <c r="K145" s="44" t="s">
        <v>227</v>
      </c>
      <c r="L145" s="44" t="s">
        <v>228</v>
      </c>
      <c r="M145" s="28" t="s">
        <v>229</v>
      </c>
      <c r="N145" s="44">
        <v>44</v>
      </c>
      <c r="O145" s="44" t="s">
        <v>230</v>
      </c>
      <c r="P145" s="44" t="s">
        <v>231</v>
      </c>
    </row>
    <row r="146" spans="4:16" ht="15.75" x14ac:dyDescent="0.25">
      <c r="D146" s="21" t="s">
        <v>116</v>
      </c>
      <c r="E146" s="3" t="s">
        <v>298</v>
      </c>
      <c r="F146">
        <f t="shared" si="2"/>
        <v>6</v>
      </c>
      <c r="G146" s="44">
        <v>2</v>
      </c>
      <c r="H146" s="59">
        <v>45885.88958333333</v>
      </c>
      <c r="I146" s="58">
        <v>1.5229166666666665</v>
      </c>
      <c r="J146" s="46">
        <v>45888</v>
      </c>
      <c r="K146" s="44" t="s">
        <v>227</v>
      </c>
      <c r="L146" s="44" t="s">
        <v>228</v>
      </c>
      <c r="M146" s="28" t="s">
        <v>229</v>
      </c>
      <c r="N146" s="44">
        <v>45</v>
      </c>
      <c r="O146" s="44" t="s">
        <v>230</v>
      </c>
      <c r="P146" s="44" t="s">
        <v>231</v>
      </c>
    </row>
    <row r="147" spans="4:16" ht="15.75" x14ac:dyDescent="0.25">
      <c r="D147" s="21" t="s">
        <v>88</v>
      </c>
      <c r="E147" s="3" t="s">
        <v>299</v>
      </c>
      <c r="F147">
        <f t="shared" si="2"/>
        <v>6</v>
      </c>
      <c r="G147" s="44">
        <v>2</v>
      </c>
      <c r="H147" s="59">
        <v>45886.618055555555</v>
      </c>
      <c r="I147" s="58">
        <v>0.79652777777777783</v>
      </c>
      <c r="J147" s="46">
        <v>45888</v>
      </c>
      <c r="K147" s="44" t="s">
        <v>227</v>
      </c>
      <c r="L147" s="44" t="s">
        <v>228</v>
      </c>
      <c r="M147" s="28" t="s">
        <v>229</v>
      </c>
      <c r="N147" s="44">
        <v>46</v>
      </c>
      <c r="O147" s="44" t="s">
        <v>230</v>
      </c>
      <c r="P147" s="44" t="s">
        <v>231</v>
      </c>
    </row>
    <row r="148" spans="4:16" ht="15.75" x14ac:dyDescent="0.25">
      <c r="D148" s="21" t="s">
        <v>124</v>
      </c>
      <c r="E148" s="3" t="s">
        <v>300</v>
      </c>
      <c r="F148">
        <f t="shared" si="2"/>
        <v>6</v>
      </c>
      <c r="G148" s="44">
        <v>2</v>
      </c>
      <c r="H148" s="59">
        <v>45887.45</v>
      </c>
      <c r="I148" s="58">
        <v>7.2222222222222229E-2</v>
      </c>
      <c r="J148" s="46">
        <v>45888</v>
      </c>
      <c r="K148" s="44" t="s">
        <v>227</v>
      </c>
      <c r="L148" s="44" t="s">
        <v>228</v>
      </c>
      <c r="M148" s="28" t="s">
        <v>229</v>
      </c>
      <c r="N148" s="44">
        <v>47</v>
      </c>
      <c r="O148" s="44" t="s">
        <v>230</v>
      </c>
      <c r="P148" s="44" t="s">
        <v>231</v>
      </c>
    </row>
    <row r="149" spans="4:16" ht="15.75" x14ac:dyDescent="0.25">
      <c r="D149" s="21" t="s">
        <v>130</v>
      </c>
      <c r="E149" s="3" t="s">
        <v>301</v>
      </c>
      <c r="F149">
        <f t="shared" si="2"/>
        <v>6</v>
      </c>
      <c r="G149" s="44">
        <v>2</v>
      </c>
      <c r="H149" s="45">
        <v>45886.951388888891</v>
      </c>
      <c r="I149" s="60">
        <v>0.57291666666666663</v>
      </c>
      <c r="J149" s="46">
        <v>45888</v>
      </c>
      <c r="K149" s="44" t="s">
        <v>227</v>
      </c>
      <c r="L149" s="44" t="s">
        <v>228</v>
      </c>
      <c r="M149" s="28" t="s">
        <v>229</v>
      </c>
      <c r="N149" s="44">
        <v>48</v>
      </c>
      <c r="O149" s="44" t="s">
        <v>230</v>
      </c>
      <c r="P149" s="44" t="s">
        <v>231</v>
      </c>
    </row>
    <row r="150" spans="4:16" ht="15.75" x14ac:dyDescent="0.25">
      <c r="D150" s="21" t="s">
        <v>126</v>
      </c>
      <c r="E150" s="3" t="s">
        <v>302</v>
      </c>
      <c r="F150">
        <f t="shared" si="2"/>
        <v>6</v>
      </c>
      <c r="G150" s="44">
        <v>2</v>
      </c>
      <c r="H150" s="45">
        <v>45885.940972222219</v>
      </c>
      <c r="I150" s="60">
        <v>1.5861111111111112</v>
      </c>
      <c r="J150" s="46">
        <v>45888</v>
      </c>
      <c r="K150" s="44" t="s">
        <v>227</v>
      </c>
      <c r="L150" s="44" t="s">
        <v>228</v>
      </c>
      <c r="M150" s="28" t="s">
        <v>229</v>
      </c>
      <c r="N150" s="44">
        <v>49</v>
      </c>
      <c r="O150" s="44" t="s">
        <v>230</v>
      </c>
      <c r="P150" s="44" t="s">
        <v>231</v>
      </c>
    </row>
    <row r="151" spans="4:16" ht="15.75" x14ac:dyDescent="0.25">
      <c r="D151" s="21" t="s">
        <v>134</v>
      </c>
      <c r="E151" s="3" t="s">
        <v>303</v>
      </c>
      <c r="F151">
        <f t="shared" si="2"/>
        <v>6</v>
      </c>
      <c r="G151" s="44">
        <v>2</v>
      </c>
      <c r="H151" s="45">
        <v>45886.925000000003</v>
      </c>
      <c r="I151" s="60">
        <v>0.65208333333333335</v>
      </c>
      <c r="J151" s="46">
        <v>45888</v>
      </c>
      <c r="K151" s="44" t="s">
        <v>227</v>
      </c>
      <c r="L151" s="44" t="s">
        <v>228</v>
      </c>
      <c r="M151" s="28" t="s">
        <v>229</v>
      </c>
      <c r="N151" s="44">
        <v>50</v>
      </c>
      <c r="O151" s="44" t="s">
        <v>230</v>
      </c>
      <c r="P151" s="44" t="s">
        <v>231</v>
      </c>
    </row>
    <row r="152" spans="4:16" ht="15.75" x14ac:dyDescent="0.25">
      <c r="D152" s="21" t="s">
        <v>146</v>
      </c>
      <c r="E152" s="3" t="s">
        <v>304</v>
      </c>
      <c r="F152">
        <f t="shared" si="2"/>
        <v>6</v>
      </c>
      <c r="G152" s="44">
        <v>2</v>
      </c>
      <c r="H152" s="45">
        <v>45888.745138888888</v>
      </c>
      <c r="I152" s="60">
        <v>0.68958333333333333</v>
      </c>
      <c r="J152" s="46">
        <v>45889</v>
      </c>
      <c r="K152" s="44" t="s">
        <v>227</v>
      </c>
      <c r="L152" s="44" t="s">
        <v>228</v>
      </c>
      <c r="M152" s="28" t="s">
        <v>229</v>
      </c>
      <c r="N152" s="44">
        <v>51</v>
      </c>
      <c r="O152" s="44" t="s">
        <v>230</v>
      </c>
      <c r="P152" s="44" t="s">
        <v>231</v>
      </c>
    </row>
    <row r="153" spans="4:16" ht="15.75" x14ac:dyDescent="0.25">
      <c r="D153" s="21" t="s">
        <v>144</v>
      </c>
      <c r="E153" s="3" t="s">
        <v>305</v>
      </c>
      <c r="F153">
        <f t="shared" si="2"/>
        <v>6</v>
      </c>
      <c r="G153" s="44">
        <v>2</v>
      </c>
      <c r="H153" s="45">
        <v>45887.827777777777</v>
      </c>
      <c r="I153" s="60">
        <v>1.6076388888888891</v>
      </c>
      <c r="J153" s="46">
        <v>45889</v>
      </c>
      <c r="K153" s="44" t="s">
        <v>227</v>
      </c>
      <c r="L153" s="44" t="s">
        <v>228</v>
      </c>
      <c r="M153" s="28" t="s">
        <v>229</v>
      </c>
      <c r="N153" s="44">
        <v>52</v>
      </c>
      <c r="O153" s="44" t="s">
        <v>230</v>
      </c>
      <c r="P153" s="44" t="s">
        <v>231</v>
      </c>
    </row>
    <row r="154" spans="4:16" ht="15.75" x14ac:dyDescent="0.25">
      <c r="D154" s="21" t="s">
        <v>82</v>
      </c>
      <c r="E154" s="3" t="s">
        <v>306</v>
      </c>
      <c r="F154">
        <f t="shared" si="2"/>
        <v>6</v>
      </c>
      <c r="G154" s="44">
        <v>2</v>
      </c>
      <c r="H154" s="45">
        <v>45888.897222222222</v>
      </c>
      <c r="I154" s="60">
        <v>0.54166666666666663</v>
      </c>
      <c r="J154" s="46">
        <v>45889</v>
      </c>
      <c r="K154" s="44" t="s">
        <v>227</v>
      </c>
      <c r="L154" s="44" t="s">
        <v>228</v>
      </c>
      <c r="M154" s="28" t="s">
        <v>229</v>
      </c>
      <c r="N154" s="44">
        <v>53</v>
      </c>
      <c r="O154" s="44" t="s">
        <v>230</v>
      </c>
      <c r="P154" s="44" t="s">
        <v>231</v>
      </c>
    </row>
    <row r="155" spans="4:16" ht="15.75" x14ac:dyDescent="0.25">
      <c r="D155" s="21" t="s">
        <v>138</v>
      </c>
      <c r="E155" s="3" t="s">
        <v>307</v>
      </c>
      <c r="F155">
        <f t="shared" si="2"/>
        <v>6</v>
      </c>
      <c r="G155" s="44">
        <v>2</v>
      </c>
      <c r="H155" s="45">
        <v>45889.381944444445</v>
      </c>
      <c r="I155" s="60">
        <v>7.7777777777777779E-2</v>
      </c>
      <c r="J155" s="46">
        <v>45889</v>
      </c>
      <c r="K155" s="44" t="s">
        <v>227</v>
      </c>
      <c r="L155" s="44" t="s">
        <v>228</v>
      </c>
      <c r="M155" s="28" t="s">
        <v>229</v>
      </c>
      <c r="N155" s="44">
        <v>54</v>
      </c>
      <c r="O155" s="44" t="s">
        <v>230</v>
      </c>
      <c r="P155" s="44" t="s">
        <v>231</v>
      </c>
    </row>
    <row r="156" spans="4:16" ht="15.75" x14ac:dyDescent="0.25">
      <c r="D156" s="21" t="s">
        <v>128</v>
      </c>
      <c r="E156" s="3" t="s">
        <v>308</v>
      </c>
      <c r="F156">
        <f t="shared" si="2"/>
        <v>6</v>
      </c>
      <c r="G156" s="44">
        <v>2</v>
      </c>
      <c r="H156" s="45">
        <v>45890.899305555555</v>
      </c>
      <c r="I156" s="60">
        <v>0.59236111111111112</v>
      </c>
      <c r="J156" s="46">
        <v>45891</v>
      </c>
      <c r="K156" s="44" t="s">
        <v>227</v>
      </c>
      <c r="L156" s="44" t="s">
        <v>228</v>
      </c>
      <c r="M156" s="28" t="s">
        <v>229</v>
      </c>
      <c r="N156" s="44">
        <v>55</v>
      </c>
      <c r="O156" s="44" t="s">
        <v>230</v>
      </c>
      <c r="P156" s="44" t="s">
        <v>231</v>
      </c>
    </row>
    <row r="157" spans="4:16" ht="15.75" x14ac:dyDescent="0.25">
      <c r="D157" s="21" t="s">
        <v>132</v>
      </c>
      <c r="E157" s="3" t="s">
        <v>309</v>
      </c>
      <c r="F157">
        <f t="shared" si="2"/>
        <v>6</v>
      </c>
      <c r="G157" s="44">
        <v>2</v>
      </c>
      <c r="H157" s="45">
        <v>45891.488888888889</v>
      </c>
      <c r="I157" s="60">
        <v>2.9861111111111113E-2</v>
      </c>
      <c r="J157" s="46">
        <v>45891</v>
      </c>
      <c r="K157" s="44" t="s">
        <v>227</v>
      </c>
      <c r="L157" s="44" t="s">
        <v>228</v>
      </c>
      <c r="M157" s="36" t="s">
        <v>229</v>
      </c>
      <c r="N157" s="44">
        <v>56</v>
      </c>
      <c r="O157" s="44" t="s">
        <v>230</v>
      </c>
      <c r="P157" s="44" t="s">
        <v>231</v>
      </c>
    </row>
    <row r="158" spans="4:16" ht="15.75" x14ac:dyDescent="0.25">
      <c r="D158" s="21" t="s">
        <v>152</v>
      </c>
      <c r="E158" s="3" t="s">
        <v>310</v>
      </c>
      <c r="F158">
        <f t="shared" si="2"/>
        <v>6</v>
      </c>
      <c r="G158" s="44">
        <v>2</v>
      </c>
      <c r="H158" s="45">
        <v>45894.25</v>
      </c>
      <c r="I158" s="60">
        <v>0.17708333333333334</v>
      </c>
      <c r="J158" s="46">
        <v>45894</v>
      </c>
      <c r="K158" s="44" t="s">
        <v>227</v>
      </c>
      <c r="L158" s="44" t="s">
        <v>228</v>
      </c>
      <c r="M158" s="28" t="s">
        <v>229</v>
      </c>
      <c r="N158" s="44">
        <v>57</v>
      </c>
      <c r="O158" s="44" t="s">
        <v>230</v>
      </c>
      <c r="P158" s="44" t="s">
        <v>231</v>
      </c>
    </row>
    <row r="159" spans="4:16" ht="15.75" x14ac:dyDescent="0.25">
      <c r="D159" s="21" t="s">
        <v>156</v>
      </c>
      <c r="E159" s="3" t="s">
        <v>311</v>
      </c>
      <c r="F159">
        <f t="shared" si="2"/>
        <v>6</v>
      </c>
      <c r="G159" s="44">
        <v>2</v>
      </c>
      <c r="H159" s="45">
        <v>45893.727777777778</v>
      </c>
      <c r="I159" s="60">
        <v>0.70208333333333339</v>
      </c>
      <c r="J159" s="46">
        <v>45894</v>
      </c>
      <c r="K159" s="44" t="s">
        <v>227</v>
      </c>
      <c r="L159" s="44" t="s">
        <v>228</v>
      </c>
      <c r="M159" s="28" t="s">
        <v>229</v>
      </c>
      <c r="N159" s="44">
        <v>58</v>
      </c>
      <c r="O159" s="44" t="s">
        <v>230</v>
      </c>
      <c r="P159" s="44" t="s">
        <v>231</v>
      </c>
    </row>
    <row r="160" spans="4:16" ht="15.75" x14ac:dyDescent="0.25">
      <c r="D160" s="21" t="s">
        <v>150</v>
      </c>
      <c r="E160" s="3" t="s">
        <v>312</v>
      </c>
      <c r="F160">
        <f t="shared" si="2"/>
        <v>6</v>
      </c>
      <c r="G160" s="44">
        <v>2</v>
      </c>
      <c r="H160" s="45">
        <v>45893.655555555553</v>
      </c>
      <c r="I160" s="60">
        <v>0.77569444444444446</v>
      </c>
      <c r="J160" s="46">
        <v>45894</v>
      </c>
      <c r="K160" s="44" t="s">
        <v>227</v>
      </c>
      <c r="L160" s="44" t="s">
        <v>228</v>
      </c>
      <c r="M160" s="28" t="s">
        <v>229</v>
      </c>
      <c r="N160" s="44">
        <v>59</v>
      </c>
      <c r="O160" s="44" t="s">
        <v>230</v>
      </c>
      <c r="P160" s="44" t="s">
        <v>231</v>
      </c>
    </row>
    <row r="161" spans="4:16" ht="15.75" x14ac:dyDescent="0.25">
      <c r="D161" s="21" t="s">
        <v>166</v>
      </c>
      <c r="E161" s="3" t="s">
        <v>207</v>
      </c>
      <c r="F161">
        <f t="shared" si="2"/>
        <v>6</v>
      </c>
      <c r="G161" s="44">
        <v>2</v>
      </c>
      <c r="H161" s="45">
        <v>45892.390972222223</v>
      </c>
      <c r="I161" s="60">
        <v>2.0416666666666665</v>
      </c>
      <c r="J161" s="46">
        <v>45894</v>
      </c>
      <c r="K161" s="44" t="s">
        <v>227</v>
      </c>
      <c r="L161" s="44" t="s">
        <v>228</v>
      </c>
      <c r="M161" s="28" t="s">
        <v>229</v>
      </c>
      <c r="N161" s="44">
        <v>60</v>
      </c>
      <c r="O161" s="44" t="s">
        <v>230</v>
      </c>
      <c r="P161" s="44" t="s">
        <v>231</v>
      </c>
    </row>
    <row r="162" spans="4:16" ht="15.75" x14ac:dyDescent="0.25">
      <c r="D162" s="21" t="s">
        <v>154</v>
      </c>
      <c r="E162" s="3" t="s">
        <v>313</v>
      </c>
      <c r="F162">
        <f t="shared" si="2"/>
        <v>6</v>
      </c>
      <c r="G162" s="44">
        <v>2</v>
      </c>
      <c r="H162" s="45">
        <v>45892.763194444444</v>
      </c>
      <c r="I162" s="60">
        <v>1.6708333333333334</v>
      </c>
      <c r="J162" s="46">
        <v>45894</v>
      </c>
      <c r="K162" s="44" t="s">
        <v>227</v>
      </c>
      <c r="L162" s="44" t="s">
        <v>228</v>
      </c>
      <c r="M162" s="28" t="s">
        <v>229</v>
      </c>
      <c r="N162" s="44">
        <v>61</v>
      </c>
      <c r="O162" s="44" t="s">
        <v>230</v>
      </c>
      <c r="P162" s="44" t="s">
        <v>231</v>
      </c>
    </row>
    <row r="163" spans="4:16" ht="15.75" x14ac:dyDescent="0.25">
      <c r="D163" s="21" t="s">
        <v>100</v>
      </c>
      <c r="E163" s="3" t="s">
        <v>314</v>
      </c>
      <c r="F163">
        <f t="shared" si="2"/>
        <v>6</v>
      </c>
      <c r="G163" s="44">
        <v>2</v>
      </c>
      <c r="H163" s="45">
        <v>45895.347222222219</v>
      </c>
      <c r="I163" s="60">
        <v>6.458333333333334E-2</v>
      </c>
      <c r="J163" s="46">
        <v>45895</v>
      </c>
      <c r="K163" s="44" t="s">
        <v>227</v>
      </c>
      <c r="L163" s="44" t="s">
        <v>228</v>
      </c>
      <c r="M163" s="28" t="s">
        <v>229</v>
      </c>
      <c r="N163" s="44">
        <v>62</v>
      </c>
      <c r="O163" s="44" t="s">
        <v>230</v>
      </c>
      <c r="P163" s="44" t="s">
        <v>231</v>
      </c>
    </row>
    <row r="164" spans="4:16" ht="15.75" x14ac:dyDescent="0.25">
      <c r="D164" s="21" t="s">
        <v>136</v>
      </c>
      <c r="E164" s="3" t="s">
        <v>315</v>
      </c>
      <c r="F164">
        <f t="shared" si="2"/>
        <v>6</v>
      </c>
      <c r="G164" s="44">
        <v>2</v>
      </c>
      <c r="H164" s="45">
        <v>45892.958333333336</v>
      </c>
      <c r="I164" s="60">
        <v>2.4569444444444444</v>
      </c>
      <c r="J164" s="46">
        <v>45895</v>
      </c>
      <c r="K164" s="44" t="s">
        <v>227</v>
      </c>
      <c r="L164" s="44" t="s">
        <v>228</v>
      </c>
      <c r="M164" s="28" t="s">
        <v>229</v>
      </c>
      <c r="N164" s="44">
        <v>63</v>
      </c>
      <c r="O164" s="44" t="s">
        <v>230</v>
      </c>
      <c r="P164" s="44" t="s">
        <v>231</v>
      </c>
    </row>
    <row r="165" spans="4:16" ht="15.75" x14ac:dyDescent="0.25">
      <c r="D165" s="22" t="s">
        <v>173</v>
      </c>
      <c r="E165" s="3" t="s">
        <v>316</v>
      </c>
      <c r="F165">
        <f t="shared" si="2"/>
        <v>6</v>
      </c>
      <c r="G165" s="52">
        <v>2</v>
      </c>
      <c r="H165" s="56">
        <v>45894.425694444442</v>
      </c>
      <c r="I165" s="58">
        <v>0.99236111111111114</v>
      </c>
      <c r="J165" s="57">
        <v>45895</v>
      </c>
      <c r="K165" s="52" t="s">
        <v>227</v>
      </c>
      <c r="L165" s="52" t="s">
        <v>228</v>
      </c>
      <c r="M165" s="28" t="s">
        <v>229</v>
      </c>
      <c r="N165" s="52">
        <v>64</v>
      </c>
      <c r="O165" s="52" t="s">
        <v>230</v>
      </c>
      <c r="P165" s="44" t="s">
        <v>231</v>
      </c>
    </row>
    <row r="166" spans="4:16" ht="15.75" x14ac:dyDescent="0.25">
      <c r="D166" s="21" t="s">
        <v>140</v>
      </c>
      <c r="E166" s="3" t="s">
        <v>317</v>
      </c>
      <c r="F166">
        <f t="shared" si="2"/>
        <v>6</v>
      </c>
      <c r="G166" s="52">
        <v>2</v>
      </c>
      <c r="H166" s="45">
        <v>45895.925694444442</v>
      </c>
      <c r="I166" s="58">
        <v>0.59097222222222223</v>
      </c>
      <c r="J166" s="46">
        <v>45896</v>
      </c>
      <c r="K166" s="52" t="s">
        <v>227</v>
      </c>
      <c r="L166" s="52" t="s">
        <v>228</v>
      </c>
      <c r="M166" s="28" t="s">
        <v>229</v>
      </c>
      <c r="N166" s="52">
        <v>65</v>
      </c>
      <c r="O166" s="52" t="s">
        <v>230</v>
      </c>
      <c r="P166" s="44" t="s">
        <v>231</v>
      </c>
    </row>
    <row r="167" spans="4:16" ht="15.75" x14ac:dyDescent="0.25">
      <c r="D167" s="21" t="s">
        <v>208</v>
      </c>
      <c r="E167" s="3" t="s">
        <v>318</v>
      </c>
      <c r="F167">
        <f t="shared" si="2"/>
        <v>6</v>
      </c>
      <c r="G167" s="52">
        <v>2</v>
      </c>
      <c r="H167" s="45">
        <v>45897.509027777778</v>
      </c>
      <c r="I167" s="58">
        <v>4.5833333333333337E-2</v>
      </c>
      <c r="J167" s="46">
        <v>45898</v>
      </c>
      <c r="K167" s="52" t="s">
        <v>227</v>
      </c>
      <c r="L167" s="52" t="s">
        <v>228</v>
      </c>
      <c r="M167" s="28" t="s">
        <v>229</v>
      </c>
      <c r="N167" s="52">
        <v>66</v>
      </c>
      <c r="O167" s="52" t="s">
        <v>230</v>
      </c>
      <c r="P167" s="44" t="s">
        <v>231</v>
      </c>
    </row>
    <row r="168" spans="4:16" ht="15.75" x14ac:dyDescent="0.25">
      <c r="D168" s="21">
        <v>836338</v>
      </c>
      <c r="E168" s="3" t="s">
        <v>319</v>
      </c>
      <c r="F168">
        <f t="shared" si="2"/>
        <v>6</v>
      </c>
      <c r="G168" s="52">
        <v>2</v>
      </c>
      <c r="H168" s="45">
        <v>45898.349305555559</v>
      </c>
      <c r="I168" s="58">
        <v>6.3888888888888884E-2</v>
      </c>
      <c r="J168" s="46">
        <v>45898</v>
      </c>
      <c r="K168" s="52" t="s">
        <v>227</v>
      </c>
      <c r="L168" s="52" t="s">
        <v>228</v>
      </c>
      <c r="M168" s="28" t="s">
        <v>229</v>
      </c>
      <c r="N168" s="52">
        <v>67</v>
      </c>
      <c r="O168" s="52" t="s">
        <v>230</v>
      </c>
      <c r="P168" s="44" t="s">
        <v>231</v>
      </c>
    </row>
    <row r="169" spans="4:16" ht="15.75" x14ac:dyDescent="0.25">
      <c r="D169" s="21" t="s">
        <v>179</v>
      </c>
      <c r="E169" s="3" t="s">
        <v>320</v>
      </c>
      <c r="F169">
        <f t="shared" si="2"/>
        <v>6</v>
      </c>
      <c r="G169" s="52">
        <v>2</v>
      </c>
      <c r="H169" s="45">
        <v>45898.454861111109</v>
      </c>
      <c r="I169" s="58">
        <v>7.1527777777777787E-2</v>
      </c>
      <c r="J169" s="46">
        <v>45898</v>
      </c>
      <c r="K169" s="52" t="s">
        <v>227</v>
      </c>
      <c r="L169" s="52" t="s">
        <v>228</v>
      </c>
      <c r="M169" s="28" t="s">
        <v>229</v>
      </c>
      <c r="N169" s="52">
        <v>68</v>
      </c>
      <c r="O169" s="52" t="s">
        <v>230</v>
      </c>
      <c r="P169" s="44" t="s">
        <v>231</v>
      </c>
    </row>
    <row r="170" spans="4:16" ht="15.75" x14ac:dyDescent="0.25">
      <c r="D170" s="21" t="s">
        <v>177</v>
      </c>
      <c r="E170" s="3" t="s">
        <v>321</v>
      </c>
      <c r="F170">
        <f t="shared" si="2"/>
        <v>6</v>
      </c>
      <c r="G170" s="52">
        <v>2</v>
      </c>
      <c r="H170" s="45">
        <v>45897.770833333336</v>
      </c>
      <c r="I170" s="58">
        <v>0.75763888888888886</v>
      </c>
      <c r="J170" s="46">
        <v>45898</v>
      </c>
      <c r="K170" s="52" t="s">
        <v>227</v>
      </c>
      <c r="L170" s="52" t="s">
        <v>228</v>
      </c>
      <c r="M170" s="28" t="s">
        <v>229</v>
      </c>
      <c r="N170" s="52">
        <v>69</v>
      </c>
      <c r="O170" s="52" t="s">
        <v>230</v>
      </c>
      <c r="P170" s="44" t="s">
        <v>231</v>
      </c>
    </row>
    <row r="171" spans="4:16" ht="15.75" x14ac:dyDescent="0.25">
      <c r="D171" s="21" t="s">
        <v>164</v>
      </c>
      <c r="E171" s="3" t="s">
        <v>322</v>
      </c>
      <c r="F171">
        <f t="shared" si="2"/>
        <v>6</v>
      </c>
      <c r="G171" s="52">
        <v>2</v>
      </c>
      <c r="H171" s="45">
        <v>45899.929166666669</v>
      </c>
      <c r="I171" s="58">
        <v>1.5083333333333335</v>
      </c>
      <c r="J171" s="46">
        <v>45901</v>
      </c>
      <c r="K171" s="52" t="s">
        <v>227</v>
      </c>
      <c r="L171" s="52" t="s">
        <v>228</v>
      </c>
      <c r="M171" s="28" t="s">
        <v>229</v>
      </c>
      <c r="N171" s="52">
        <v>70</v>
      </c>
      <c r="O171" s="52" t="s">
        <v>230</v>
      </c>
      <c r="P171" s="44" t="s">
        <v>231</v>
      </c>
    </row>
    <row r="172" spans="4:16" ht="15.75" x14ac:dyDescent="0.25">
      <c r="D172" s="21" t="s">
        <v>94</v>
      </c>
      <c r="E172" s="3" t="s">
        <v>323</v>
      </c>
      <c r="F172">
        <f t="shared" si="2"/>
        <v>6</v>
      </c>
      <c r="G172" s="52">
        <v>2</v>
      </c>
      <c r="H172" s="45">
        <v>45901.5625</v>
      </c>
      <c r="I172" s="58">
        <v>3.3333333333333333E-2</v>
      </c>
      <c r="J172" s="46">
        <v>45901</v>
      </c>
      <c r="K172" s="52" t="s">
        <v>227</v>
      </c>
      <c r="L172" s="52" t="s">
        <v>228</v>
      </c>
      <c r="M172" s="28" t="s">
        <v>229</v>
      </c>
      <c r="N172" s="52">
        <v>71</v>
      </c>
      <c r="O172" s="52" t="s">
        <v>230</v>
      </c>
      <c r="P172" s="44" t="s">
        <v>231</v>
      </c>
    </row>
    <row r="173" spans="4:16" ht="15.75" x14ac:dyDescent="0.25">
      <c r="D173" s="21" t="s">
        <v>118</v>
      </c>
      <c r="E173" s="3" t="s">
        <v>324</v>
      </c>
      <c r="F173">
        <f t="shared" si="2"/>
        <v>6</v>
      </c>
      <c r="G173" s="52">
        <v>2</v>
      </c>
      <c r="H173" s="45">
        <v>45901.833333333336</v>
      </c>
      <c r="I173" s="58">
        <v>0.76458333333333339</v>
      </c>
      <c r="J173" s="46">
        <v>45903</v>
      </c>
      <c r="K173" s="52" t="s">
        <v>227</v>
      </c>
      <c r="L173" s="52" t="s">
        <v>228</v>
      </c>
      <c r="M173" s="28" t="s">
        <v>229</v>
      </c>
      <c r="N173" s="52">
        <v>72</v>
      </c>
      <c r="O173" s="52" t="s">
        <v>230</v>
      </c>
      <c r="P173" s="44" t="s">
        <v>231</v>
      </c>
    </row>
    <row r="174" spans="4:16" ht="15.75" x14ac:dyDescent="0.25">
      <c r="D174" s="21" t="s">
        <v>160</v>
      </c>
      <c r="E174" s="3" t="s">
        <v>325</v>
      </c>
      <c r="F174">
        <f t="shared" si="2"/>
        <v>6</v>
      </c>
      <c r="G174" s="52">
        <v>2</v>
      </c>
      <c r="H174" s="45">
        <v>45901.964583333334</v>
      </c>
      <c r="I174" s="58">
        <v>0.45208333333333334</v>
      </c>
      <c r="J174" s="46">
        <v>45903</v>
      </c>
      <c r="K174" s="52" t="s">
        <v>227</v>
      </c>
      <c r="L174" s="52" t="s">
        <v>228</v>
      </c>
      <c r="M174" s="28" t="s">
        <v>229</v>
      </c>
      <c r="N174" s="52">
        <v>73</v>
      </c>
      <c r="O174" s="52" t="s">
        <v>230</v>
      </c>
      <c r="P174" s="44" t="s">
        <v>231</v>
      </c>
    </row>
    <row r="175" spans="4:16" ht="15.75" x14ac:dyDescent="0.25">
      <c r="D175" s="21" t="s">
        <v>191</v>
      </c>
      <c r="E175" s="3" t="s">
        <v>326</v>
      </c>
      <c r="F175">
        <f t="shared" si="2"/>
        <v>6</v>
      </c>
      <c r="G175" s="52">
        <v>2</v>
      </c>
      <c r="H175" s="45">
        <v>45901.710416666669</v>
      </c>
      <c r="I175" s="58">
        <v>1.7444444444444445</v>
      </c>
      <c r="J175" s="46">
        <v>45903</v>
      </c>
      <c r="K175" s="52" t="s">
        <v>227</v>
      </c>
      <c r="L175" s="52" t="s">
        <v>228</v>
      </c>
      <c r="M175" s="28" t="s">
        <v>229</v>
      </c>
      <c r="N175" s="52">
        <v>74</v>
      </c>
      <c r="O175" s="52" t="s">
        <v>230</v>
      </c>
      <c r="P175" s="44" t="s">
        <v>231</v>
      </c>
    </row>
    <row r="176" spans="4:16" ht="15.75" x14ac:dyDescent="0.25">
      <c r="D176" s="21" t="s">
        <v>194</v>
      </c>
      <c r="E176" s="3" t="s">
        <v>327</v>
      </c>
      <c r="F176">
        <f t="shared" si="2"/>
        <v>6</v>
      </c>
      <c r="G176" s="52">
        <v>2</v>
      </c>
      <c r="H176" s="45">
        <v>45905.377083333333</v>
      </c>
      <c r="I176" s="58">
        <v>0.16388888888888889</v>
      </c>
      <c r="J176" s="46">
        <v>45905</v>
      </c>
      <c r="K176" s="52" t="s">
        <v>227</v>
      </c>
      <c r="L176" s="52" t="s">
        <v>228</v>
      </c>
      <c r="M176" s="28" t="s">
        <v>229</v>
      </c>
      <c r="N176" s="52">
        <v>75</v>
      </c>
      <c r="O176" s="52" t="s">
        <v>230</v>
      </c>
      <c r="P176" s="44" t="s">
        <v>231</v>
      </c>
    </row>
    <row r="177" spans="4:16" ht="15.75" x14ac:dyDescent="0.25">
      <c r="D177" s="21" t="s">
        <v>209</v>
      </c>
      <c r="E177" s="3" t="s">
        <v>328</v>
      </c>
      <c r="F177">
        <f t="shared" si="2"/>
        <v>6</v>
      </c>
      <c r="G177" s="52">
        <v>2</v>
      </c>
      <c r="H177" s="45">
        <v>45904.934027777781</v>
      </c>
      <c r="I177" s="58">
        <v>0.60763888888888895</v>
      </c>
      <c r="J177" s="46">
        <v>45905</v>
      </c>
      <c r="K177" s="52" t="s">
        <v>227</v>
      </c>
      <c r="L177" s="52" t="s">
        <v>228</v>
      </c>
      <c r="M177" s="28" t="s">
        <v>229</v>
      </c>
      <c r="N177" s="52">
        <v>76</v>
      </c>
      <c r="O177" s="52" t="s">
        <v>230</v>
      </c>
      <c r="P177" s="44" t="s">
        <v>231</v>
      </c>
    </row>
    <row r="178" spans="4:16" ht="15.75" x14ac:dyDescent="0.25">
      <c r="D178" s="21" t="s">
        <v>195</v>
      </c>
      <c r="E178" s="3" t="s">
        <v>329</v>
      </c>
      <c r="F178">
        <f t="shared" si="2"/>
        <v>6</v>
      </c>
      <c r="G178" s="52">
        <v>2</v>
      </c>
      <c r="H178" s="45">
        <v>45904.995833333334</v>
      </c>
      <c r="I178" s="58">
        <v>0.54722222222222217</v>
      </c>
      <c r="J178" s="46">
        <v>45905</v>
      </c>
      <c r="K178" s="52" t="s">
        <v>227</v>
      </c>
      <c r="L178" s="52" t="s">
        <v>228</v>
      </c>
      <c r="M178" s="28" t="s">
        <v>229</v>
      </c>
      <c r="N178" s="52">
        <v>77</v>
      </c>
      <c r="O178" s="52" t="s">
        <v>230</v>
      </c>
      <c r="P178" s="44" t="s">
        <v>231</v>
      </c>
    </row>
    <row r="179" spans="4:16" ht="15.75" x14ac:dyDescent="0.25">
      <c r="D179" s="21" t="s">
        <v>108</v>
      </c>
      <c r="E179" s="3" t="s">
        <v>330</v>
      </c>
      <c r="F179">
        <f t="shared" si="2"/>
        <v>6</v>
      </c>
      <c r="G179" s="52">
        <v>2</v>
      </c>
      <c r="H179" s="45">
        <v>45904.972222222219</v>
      </c>
      <c r="I179" s="58">
        <v>0.57361111111111118</v>
      </c>
      <c r="J179" s="46">
        <v>45905</v>
      </c>
      <c r="K179" s="52" t="s">
        <v>227</v>
      </c>
      <c r="L179" s="52" t="s">
        <v>228</v>
      </c>
      <c r="M179" s="28" t="s">
        <v>229</v>
      </c>
      <c r="N179" s="52">
        <v>78</v>
      </c>
      <c r="O179" s="52" t="s">
        <v>230</v>
      </c>
      <c r="P179" s="44" t="s">
        <v>231</v>
      </c>
    </row>
    <row r="180" spans="4:16" ht="15.75" x14ac:dyDescent="0.25">
      <c r="D180" s="21" t="s">
        <v>170</v>
      </c>
      <c r="E180" s="3" t="s">
        <v>331</v>
      </c>
      <c r="F180">
        <f t="shared" si="2"/>
        <v>6</v>
      </c>
      <c r="G180" s="52">
        <v>2</v>
      </c>
      <c r="H180" s="45">
        <v>45908.725694444445</v>
      </c>
      <c r="I180" s="58">
        <v>0.69444444444444453</v>
      </c>
      <c r="J180" s="46">
        <v>45909</v>
      </c>
      <c r="K180" s="52" t="s">
        <v>227</v>
      </c>
      <c r="L180" s="52" t="s">
        <v>228</v>
      </c>
      <c r="M180" s="28" t="s">
        <v>229</v>
      </c>
      <c r="N180" s="52">
        <v>79</v>
      </c>
      <c r="O180" s="52" t="s">
        <v>230</v>
      </c>
      <c r="P180" s="44" t="s">
        <v>231</v>
      </c>
    </row>
    <row r="181" spans="4:16" ht="15.75" x14ac:dyDescent="0.25">
      <c r="D181" s="21" t="s">
        <v>58</v>
      </c>
      <c r="E181" s="3" t="s">
        <v>332</v>
      </c>
      <c r="F181">
        <f t="shared" si="2"/>
        <v>6</v>
      </c>
      <c r="G181" s="52">
        <v>2</v>
      </c>
      <c r="H181" s="45">
        <v>45908.75</v>
      </c>
      <c r="I181" s="58">
        <v>0.67291666666666661</v>
      </c>
      <c r="J181" s="46">
        <v>45909</v>
      </c>
      <c r="K181" s="52" t="s">
        <v>227</v>
      </c>
      <c r="L181" s="52" t="s">
        <v>228</v>
      </c>
      <c r="M181" s="28" t="s">
        <v>229</v>
      </c>
      <c r="N181" s="52">
        <v>80</v>
      </c>
      <c r="O181" s="52" t="s">
        <v>230</v>
      </c>
      <c r="P181" s="61" t="s">
        <v>241</v>
      </c>
    </row>
    <row r="182" spans="4:16" ht="15.75" x14ac:dyDescent="0.25">
      <c r="D182" s="21" t="s">
        <v>192</v>
      </c>
      <c r="E182" s="3" t="s">
        <v>333</v>
      </c>
      <c r="F182">
        <f t="shared" si="2"/>
        <v>6</v>
      </c>
      <c r="G182" s="52">
        <v>2</v>
      </c>
      <c r="H182" s="45">
        <v>45907.519444444442</v>
      </c>
      <c r="I182" s="58">
        <v>1.9076388888888889</v>
      </c>
      <c r="J182" s="46">
        <v>45909</v>
      </c>
      <c r="K182" s="52" t="s">
        <v>227</v>
      </c>
      <c r="L182" s="52" t="s">
        <v>228</v>
      </c>
      <c r="M182" s="28" t="s">
        <v>229</v>
      </c>
      <c r="N182" s="52">
        <v>81</v>
      </c>
      <c r="O182" s="52" t="s">
        <v>230</v>
      </c>
      <c r="P182" s="44" t="s">
        <v>231</v>
      </c>
    </row>
    <row r="183" spans="4:16" ht="15.75" x14ac:dyDescent="0.25">
      <c r="D183" s="21" t="s">
        <v>185</v>
      </c>
      <c r="E183" s="3" t="s">
        <v>334</v>
      </c>
      <c r="F183">
        <f t="shared" si="2"/>
        <v>6</v>
      </c>
      <c r="G183" s="52">
        <v>2</v>
      </c>
      <c r="H183" s="45">
        <v>45907.770833333336</v>
      </c>
      <c r="I183" s="58">
        <v>1.7340277777777777</v>
      </c>
      <c r="J183" s="46">
        <v>45909</v>
      </c>
      <c r="K183" s="52" t="s">
        <v>227</v>
      </c>
      <c r="L183" s="52" t="s">
        <v>228</v>
      </c>
      <c r="M183" s="28" t="s">
        <v>236</v>
      </c>
      <c r="N183" s="52">
        <v>1</v>
      </c>
      <c r="O183" s="52" t="s">
        <v>230</v>
      </c>
      <c r="P183" s="44" t="s">
        <v>231</v>
      </c>
    </row>
    <row r="184" spans="4:16" ht="15.75" x14ac:dyDescent="0.25">
      <c r="D184" s="21" t="s">
        <v>175</v>
      </c>
      <c r="E184" s="3" t="s">
        <v>335</v>
      </c>
      <c r="F184">
        <f t="shared" si="2"/>
        <v>6</v>
      </c>
      <c r="G184" s="52">
        <v>2</v>
      </c>
      <c r="H184" s="45">
        <v>45909.409722222219</v>
      </c>
      <c r="I184" s="58">
        <v>9.6527777777777768E-2</v>
      </c>
      <c r="J184" s="46">
        <v>45909</v>
      </c>
      <c r="K184" s="52" t="s">
        <v>227</v>
      </c>
      <c r="L184" s="52" t="s">
        <v>228</v>
      </c>
      <c r="M184" s="28" t="s">
        <v>236</v>
      </c>
      <c r="N184" s="52">
        <v>2</v>
      </c>
      <c r="O184" s="52" t="s">
        <v>230</v>
      </c>
      <c r="P184" s="44" t="s">
        <v>231</v>
      </c>
    </row>
    <row r="185" spans="4:16" ht="15.75" x14ac:dyDescent="0.25">
      <c r="D185" s="22" t="s">
        <v>210</v>
      </c>
      <c r="E185" s="13" t="s">
        <v>336</v>
      </c>
      <c r="F185">
        <f t="shared" si="2"/>
        <v>6</v>
      </c>
      <c r="G185" s="52">
        <v>2</v>
      </c>
      <c r="H185" s="56">
        <v>45909.548611111109</v>
      </c>
      <c r="I185" s="58">
        <v>0.89930555555555547</v>
      </c>
      <c r="J185" s="46">
        <v>45910</v>
      </c>
      <c r="K185" s="52" t="s">
        <v>227</v>
      </c>
      <c r="L185" s="52" t="s">
        <v>228</v>
      </c>
      <c r="M185" s="28" t="s">
        <v>236</v>
      </c>
      <c r="N185" s="52">
        <v>3</v>
      </c>
      <c r="O185" s="52" t="s">
        <v>230</v>
      </c>
      <c r="P185" s="44" t="s">
        <v>231</v>
      </c>
    </row>
    <row r="186" spans="4:16" ht="31.5" x14ac:dyDescent="0.25">
      <c r="D186" s="23" t="s">
        <v>148</v>
      </c>
      <c r="E186" s="24" t="s">
        <v>211</v>
      </c>
      <c r="F186">
        <f t="shared" si="2"/>
        <v>6</v>
      </c>
      <c r="G186" s="44">
        <v>2</v>
      </c>
      <c r="H186" s="56">
        <v>45914.737500000003</v>
      </c>
      <c r="I186" s="58">
        <v>0.71458333333333324</v>
      </c>
      <c r="J186" s="46">
        <v>45915</v>
      </c>
      <c r="K186" s="52" t="s">
        <v>227</v>
      </c>
      <c r="L186" s="52" t="s">
        <v>228</v>
      </c>
      <c r="M186" s="28" t="s">
        <v>236</v>
      </c>
      <c r="N186" s="52">
        <v>4</v>
      </c>
      <c r="O186" s="52" t="s">
        <v>230</v>
      </c>
      <c r="P186" s="44" t="s">
        <v>231</v>
      </c>
    </row>
    <row r="187" spans="4:16" ht="31.5" x14ac:dyDescent="0.25">
      <c r="D187" s="23" t="s">
        <v>187</v>
      </c>
      <c r="E187" s="24" t="s">
        <v>212</v>
      </c>
      <c r="F187">
        <f t="shared" si="2"/>
        <v>6</v>
      </c>
      <c r="G187" s="44">
        <v>2</v>
      </c>
      <c r="H187" s="56">
        <v>45914.756944444445</v>
      </c>
      <c r="I187" s="58">
        <v>1.6763888888888889</v>
      </c>
      <c r="J187" s="46">
        <v>45916</v>
      </c>
      <c r="K187" s="52" t="s">
        <v>227</v>
      </c>
      <c r="L187" s="52" t="s">
        <v>228</v>
      </c>
      <c r="M187" s="28" t="s">
        <v>236</v>
      </c>
      <c r="N187" s="52">
        <v>5</v>
      </c>
      <c r="O187" s="52" t="s">
        <v>230</v>
      </c>
      <c r="P187" s="44" t="s">
        <v>231</v>
      </c>
    </row>
    <row r="188" spans="4:16" ht="31.5" x14ac:dyDescent="0.25">
      <c r="D188" s="25" t="s">
        <v>162</v>
      </c>
      <c r="E188" s="26" t="s">
        <v>213</v>
      </c>
      <c r="F188">
        <f t="shared" si="2"/>
        <v>6</v>
      </c>
      <c r="G188" s="52">
        <v>2</v>
      </c>
      <c r="H188" s="56">
        <v>45916.955555555556</v>
      </c>
      <c r="I188" s="58">
        <v>0.48888888888888887</v>
      </c>
      <c r="J188" s="57">
        <v>45917</v>
      </c>
      <c r="K188" s="52" t="s">
        <v>227</v>
      </c>
      <c r="L188" s="52" t="s">
        <v>228</v>
      </c>
      <c r="M188" s="28" t="s">
        <v>236</v>
      </c>
      <c r="N188" s="52">
        <v>6</v>
      </c>
      <c r="O188" s="52" t="s">
        <v>230</v>
      </c>
      <c r="P188" s="44" t="s">
        <v>231</v>
      </c>
    </row>
    <row r="189" spans="4:16" ht="31.5" x14ac:dyDescent="0.25">
      <c r="D189" s="25" t="s">
        <v>214</v>
      </c>
      <c r="E189" s="26" t="s">
        <v>215</v>
      </c>
      <c r="F189">
        <f t="shared" si="2"/>
        <v>6</v>
      </c>
      <c r="G189" s="52">
        <v>2</v>
      </c>
      <c r="H189" s="56">
        <v>45917.995138888888</v>
      </c>
      <c r="I189" s="60">
        <v>0.44513888888888892</v>
      </c>
      <c r="J189" s="57">
        <v>45918</v>
      </c>
      <c r="K189" s="52" t="s">
        <v>227</v>
      </c>
      <c r="L189" s="52" t="s">
        <v>228</v>
      </c>
      <c r="M189" s="28" t="s">
        <v>236</v>
      </c>
      <c r="N189" s="52">
        <v>7</v>
      </c>
      <c r="O189" s="52" t="s">
        <v>230</v>
      </c>
      <c r="P189" s="44" t="s">
        <v>231</v>
      </c>
    </row>
    <row r="190" spans="4:16" ht="31.5" x14ac:dyDescent="0.25">
      <c r="D190" s="23" t="s">
        <v>196</v>
      </c>
      <c r="E190" s="24" t="s">
        <v>216</v>
      </c>
      <c r="F190">
        <f t="shared" si="2"/>
        <v>6</v>
      </c>
      <c r="G190" s="44">
        <v>2</v>
      </c>
      <c r="H190" s="56">
        <v>45918.719444444447</v>
      </c>
      <c r="I190" s="60">
        <v>0.8027777777777777</v>
      </c>
      <c r="J190" s="57">
        <v>45919</v>
      </c>
      <c r="K190" s="52" t="s">
        <v>227</v>
      </c>
      <c r="L190" s="52" t="s">
        <v>228</v>
      </c>
      <c r="M190" s="28" t="s">
        <v>236</v>
      </c>
      <c r="N190" s="52">
        <v>8</v>
      </c>
      <c r="O190" s="52" t="s">
        <v>230</v>
      </c>
      <c r="P190" s="44" t="s">
        <v>231</v>
      </c>
    </row>
    <row r="191" spans="4:16" ht="31.5" x14ac:dyDescent="0.25">
      <c r="D191" s="27" t="s">
        <v>197</v>
      </c>
      <c r="E191" s="24" t="s">
        <v>217</v>
      </c>
      <c r="F191">
        <f t="shared" si="2"/>
        <v>6</v>
      </c>
      <c r="G191" s="44">
        <v>2</v>
      </c>
      <c r="H191" s="56">
        <v>45918.838888888888</v>
      </c>
      <c r="I191" s="60">
        <v>0.72291666666666676</v>
      </c>
      <c r="J191" s="57">
        <v>45919</v>
      </c>
      <c r="K191" s="52" t="s">
        <v>227</v>
      </c>
      <c r="L191" s="52" t="s">
        <v>228</v>
      </c>
      <c r="M191" s="28" t="s">
        <v>236</v>
      </c>
      <c r="N191" s="52">
        <v>9</v>
      </c>
      <c r="O191" s="52" t="s">
        <v>230</v>
      </c>
      <c r="P191" s="44" t="s">
        <v>231</v>
      </c>
    </row>
    <row r="192" spans="4:16" ht="31.5" x14ac:dyDescent="0.25">
      <c r="D192" s="27">
        <v>377702</v>
      </c>
      <c r="E192" s="24" t="s">
        <v>218</v>
      </c>
      <c r="F192">
        <f t="shared" si="2"/>
        <v>6</v>
      </c>
      <c r="G192" s="44">
        <v>2</v>
      </c>
      <c r="H192" s="56">
        <v>45921.715277777781</v>
      </c>
      <c r="I192" s="60">
        <v>0.75555555555555554</v>
      </c>
      <c r="J192" s="57">
        <v>45922.470833333333</v>
      </c>
      <c r="K192" s="52" t="s">
        <v>227</v>
      </c>
      <c r="L192" s="52" t="s">
        <v>228</v>
      </c>
      <c r="M192" s="28" t="s">
        <v>236</v>
      </c>
      <c r="N192" s="52">
        <v>10</v>
      </c>
      <c r="O192" s="52" t="s">
        <v>230</v>
      </c>
      <c r="P192" s="44" t="s">
        <v>231</v>
      </c>
    </row>
    <row r="193" spans="4:16" ht="31.5" x14ac:dyDescent="0.25">
      <c r="D193" s="27" t="s">
        <v>219</v>
      </c>
      <c r="E193" s="24" t="s">
        <v>220</v>
      </c>
      <c r="F193">
        <f t="shared" si="2"/>
        <v>6</v>
      </c>
      <c r="G193" s="44">
        <v>2</v>
      </c>
      <c r="H193" s="56">
        <v>45922.410416666666</v>
      </c>
      <c r="I193" s="60">
        <v>9.7916666666666666E-2</v>
      </c>
      <c r="J193" s="57">
        <v>45922.508333333331</v>
      </c>
      <c r="K193" s="52" t="s">
        <v>227</v>
      </c>
      <c r="L193" s="52" t="s">
        <v>228</v>
      </c>
      <c r="M193" s="28" t="s">
        <v>236</v>
      </c>
      <c r="N193" s="52">
        <v>11</v>
      </c>
      <c r="O193" s="52" t="s">
        <v>230</v>
      </c>
      <c r="P193" s="44" t="s">
        <v>231</v>
      </c>
    </row>
    <row r="194" spans="4:16" ht="31.5" x14ac:dyDescent="0.25">
      <c r="D194" s="27" t="s">
        <v>198</v>
      </c>
      <c r="E194" s="24" t="s">
        <v>221</v>
      </c>
      <c r="F194">
        <f t="shared" si="2"/>
        <v>6</v>
      </c>
      <c r="G194" s="44">
        <v>2</v>
      </c>
      <c r="H194" s="56">
        <v>45925.811111111114</v>
      </c>
      <c r="I194" s="60">
        <v>0.73055555555555562</v>
      </c>
      <c r="J194" s="57">
        <v>45926.541666666664</v>
      </c>
      <c r="K194" s="52" t="s">
        <v>227</v>
      </c>
      <c r="L194" s="52" t="s">
        <v>228</v>
      </c>
      <c r="M194" s="28" t="s">
        <v>236</v>
      </c>
      <c r="N194" s="52">
        <v>12</v>
      </c>
      <c r="O194" s="52" t="s">
        <v>230</v>
      </c>
      <c r="P194" s="44" t="s">
        <v>231</v>
      </c>
    </row>
    <row r="195" spans="4:16" ht="31.5" x14ac:dyDescent="0.25">
      <c r="D195" s="27" t="s">
        <v>222</v>
      </c>
      <c r="E195" s="24" t="s">
        <v>223</v>
      </c>
      <c r="F195">
        <f t="shared" ref="F195:F198" si="3">VALUE(RIGHT(E195,1))</f>
        <v>6</v>
      </c>
      <c r="G195" s="44">
        <v>2</v>
      </c>
      <c r="H195" s="56">
        <v>45928.418055555558</v>
      </c>
      <c r="I195" s="60">
        <v>0.1125</v>
      </c>
      <c r="J195" s="57">
        <v>45929.530555555553</v>
      </c>
      <c r="K195" s="52" t="s">
        <v>227</v>
      </c>
      <c r="L195" s="52" t="s">
        <v>228</v>
      </c>
      <c r="M195" s="28" t="s">
        <v>236</v>
      </c>
      <c r="N195" s="52">
        <v>13</v>
      </c>
      <c r="O195" s="52" t="s">
        <v>230</v>
      </c>
      <c r="P195" s="44" t="s">
        <v>231</v>
      </c>
    </row>
    <row r="196" spans="4:16" ht="31.5" x14ac:dyDescent="0.25">
      <c r="D196" s="23" t="s">
        <v>189</v>
      </c>
      <c r="E196" s="24" t="s">
        <v>224</v>
      </c>
      <c r="F196">
        <f t="shared" si="3"/>
        <v>6</v>
      </c>
      <c r="G196" s="44">
        <v>2</v>
      </c>
      <c r="H196" s="45">
        <v>45929.855555555558</v>
      </c>
      <c r="I196" s="60">
        <v>0.61527777777777781</v>
      </c>
      <c r="J196" s="62">
        <v>45930.470833333333</v>
      </c>
      <c r="K196" s="52" t="s">
        <v>227</v>
      </c>
      <c r="L196" s="52" t="s">
        <v>228</v>
      </c>
      <c r="M196" s="28" t="s">
        <v>236</v>
      </c>
      <c r="N196" s="52">
        <v>14</v>
      </c>
      <c r="O196" s="52" t="s">
        <v>230</v>
      </c>
      <c r="P196" s="44" t="s">
        <v>231</v>
      </c>
    </row>
    <row r="197" spans="4:16" ht="31.5" x14ac:dyDescent="0.25">
      <c r="D197" s="23" t="s">
        <v>200</v>
      </c>
      <c r="E197" s="24" t="s">
        <v>225</v>
      </c>
      <c r="F197">
        <f t="shared" si="3"/>
        <v>6</v>
      </c>
      <c r="G197" s="44">
        <v>2</v>
      </c>
      <c r="H197" s="45">
        <v>45931.427777777775</v>
      </c>
      <c r="I197" s="64">
        <v>7.7777777777777779E-2</v>
      </c>
      <c r="J197" s="63">
        <v>45933.427777777775</v>
      </c>
      <c r="K197" s="52" t="s">
        <v>227</v>
      </c>
      <c r="L197" s="52" t="s">
        <v>228</v>
      </c>
      <c r="M197" s="28" t="s">
        <v>236</v>
      </c>
      <c r="N197" s="52">
        <v>15</v>
      </c>
      <c r="O197" s="52" t="s">
        <v>230</v>
      </c>
      <c r="P197" s="44" t="s">
        <v>231</v>
      </c>
    </row>
    <row r="198" spans="4:16" ht="31.5" x14ac:dyDescent="0.25">
      <c r="D198" s="23" t="s">
        <v>201</v>
      </c>
      <c r="E198" s="24" t="s">
        <v>226</v>
      </c>
      <c r="F198">
        <f t="shared" si="3"/>
        <v>6</v>
      </c>
      <c r="G198" s="44">
        <v>2</v>
      </c>
      <c r="H198" s="45">
        <v>45931.875694444447</v>
      </c>
      <c r="I198" s="64">
        <v>0.63124999999999998</v>
      </c>
      <c r="J198" s="63">
        <v>45933.427777777775</v>
      </c>
      <c r="K198" s="52" t="s">
        <v>227</v>
      </c>
      <c r="L198" s="52" t="s">
        <v>228</v>
      </c>
      <c r="M198" s="28" t="s">
        <v>236</v>
      </c>
      <c r="N198" s="52">
        <v>16</v>
      </c>
      <c r="O198" s="52" t="s">
        <v>230</v>
      </c>
      <c r="P198" s="44" t="s">
        <v>231</v>
      </c>
    </row>
  </sheetData>
  <conditionalFormatting sqref="E2:E198">
    <cfRule type="duplicateValues" dxfId="1" priority="1"/>
  </conditionalFormatting>
  <pageMargins left="0.7" right="0.7" top="0.75" bottom="0.75" header="0.3" footer="0.3"/>
  <headerFooter>
    <oddFooter>&amp;Cdata&amp;L&amp;D&amp;RPage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GAVIDIA CROVETTO, BRUNO PAOLO</cp:lastModifiedBy>
  <dcterms:created xsi:type="dcterms:W3CDTF">2026-01-22T21:59:36Z</dcterms:created>
  <dcterms:modified xsi:type="dcterms:W3CDTF">2026-01-22T22:04:16Z</dcterms:modified>
</cp:coreProperties>
</file>