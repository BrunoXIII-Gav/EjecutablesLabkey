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gavi\Downloads\"/>
    </mc:Choice>
  </mc:AlternateContent>
  <xr:revisionPtr revIDLastSave="0" documentId="13_ncr:1_{D280644C-4BBC-4C70-8BD1-BD73F85DEBA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2" i="1"/>
</calcChain>
</file>

<file path=xl/sharedStrings.xml><?xml version="1.0" encoding="utf-8"?>
<sst xmlns="http://schemas.openxmlformats.org/spreadsheetml/2006/main" count="1389" uniqueCount="333">
  <si>
    <t>Name</t>
  </si>
  <si>
    <t>Alias</t>
  </si>
  <si>
    <t>Flag</t>
  </si>
  <si>
    <t>ParticipantId</t>
  </si>
  <si>
    <t>Codigo_proyecto</t>
  </si>
  <si>
    <t>codigo_swab</t>
  </si>
  <si>
    <t>VisitId</t>
  </si>
  <si>
    <t>Fecha_almacenamiento_-20_C_glicerol</t>
  </si>
  <si>
    <t>Operador</t>
  </si>
  <si>
    <t>Ubicacion_criobox_-80_C</t>
  </si>
  <si>
    <t>N_criobox</t>
  </si>
  <si>
    <t>Ubicacion_dentro_criobox_-80_C</t>
  </si>
  <si>
    <t>Volumen_final_criovial</t>
  </si>
  <si>
    <t>Observaciones</t>
  </si>
  <si>
    <t>0270dc</t>
  </si>
  <si>
    <t>LAU2-L001-G-V3</t>
  </si>
  <si>
    <t>da1a82</t>
  </si>
  <si>
    <t>LAU2-L002-G-V3</t>
  </si>
  <si>
    <t>ddedc8</t>
  </si>
  <si>
    <t>LAU2-L003-G-V3</t>
  </si>
  <si>
    <t>12eb9d</t>
  </si>
  <si>
    <t>LAU2-L004-G-V3</t>
  </si>
  <si>
    <t>7b87eb</t>
  </si>
  <si>
    <t>LAU2-L005-G-V3</t>
  </si>
  <si>
    <t>b80e1b</t>
  </si>
  <si>
    <t>LAU2-L006-G-V3</t>
  </si>
  <si>
    <t>3ffdac</t>
  </si>
  <si>
    <t>LAU2-L007-G-V3</t>
  </si>
  <si>
    <t>6722bf</t>
  </si>
  <si>
    <t>LAU2-L008-G-V3</t>
  </si>
  <si>
    <t>ef7845</t>
  </si>
  <si>
    <t>LAU2-L009-G-V3</t>
  </si>
  <si>
    <t>cee96d</t>
  </si>
  <si>
    <t>LAU2-L010-G-V3</t>
  </si>
  <si>
    <t>a8cf83</t>
  </si>
  <si>
    <t>LAU2-L011-G-V3</t>
  </si>
  <si>
    <t>fe4d70</t>
  </si>
  <si>
    <t>LAU2-L012-G-V3</t>
  </si>
  <si>
    <t>1df464</t>
  </si>
  <si>
    <t>LAU2-L013-G-V3</t>
  </si>
  <si>
    <t>7cefb3</t>
  </si>
  <si>
    <t>LAU2-L014-G-V3</t>
  </si>
  <si>
    <t>8ec620</t>
  </si>
  <si>
    <t>LAU2-L015-G-V3</t>
  </si>
  <si>
    <t>7eaa46</t>
  </si>
  <si>
    <t>LAU2-L016-G-V3</t>
  </si>
  <si>
    <t>9325ce</t>
  </si>
  <si>
    <t>LAU2-L017-G-V3</t>
  </si>
  <si>
    <t>3549d5</t>
  </si>
  <si>
    <t>LAU2-L018-G-V3</t>
  </si>
  <si>
    <t>55f5ca</t>
  </si>
  <si>
    <t>LAU2-L019-G-V3</t>
  </si>
  <si>
    <t>47fc53</t>
  </si>
  <si>
    <t>LAU2-L020-G-V3</t>
  </si>
  <si>
    <t>8aee0e</t>
  </si>
  <si>
    <t>LAU2-L021-G-V3</t>
  </si>
  <si>
    <t>e8bd85</t>
  </si>
  <si>
    <t>LAU2-L022-G-V3</t>
  </si>
  <si>
    <t>36fc6f</t>
  </si>
  <si>
    <t>LAU2-L023-G-V3</t>
  </si>
  <si>
    <t>130bbe</t>
  </si>
  <si>
    <t>LAU2-L024-G-V3</t>
  </si>
  <si>
    <t>e6864e</t>
  </si>
  <si>
    <t>LAU2-L025-G-V3</t>
  </si>
  <si>
    <t>0554d4</t>
  </si>
  <si>
    <t>LAU2-L026-G-V3</t>
  </si>
  <si>
    <t>c6f6f4</t>
  </si>
  <si>
    <t>LAU2-L027-G-V3</t>
  </si>
  <si>
    <t>5d1969</t>
  </si>
  <si>
    <t>LAU2-L028-G-V3</t>
  </si>
  <si>
    <t>489a1d</t>
  </si>
  <si>
    <t>LAU2-L029-G-V3</t>
  </si>
  <si>
    <t>3f01bd</t>
  </si>
  <si>
    <t>LAU2-L030-G-V3</t>
  </si>
  <si>
    <t>cd1b83</t>
  </si>
  <si>
    <t>LAU2-L031-G-V3</t>
  </si>
  <si>
    <t>2ea28a</t>
  </si>
  <si>
    <t>LAU2-L032-G-V3</t>
  </si>
  <si>
    <t>4b4d2c</t>
  </si>
  <si>
    <t>LAU2-L033-G-V3</t>
  </si>
  <si>
    <t>930b0c</t>
  </si>
  <si>
    <t>LAU2-L034-G-V3</t>
  </si>
  <si>
    <t>5e98b5</t>
  </si>
  <si>
    <t>LAU2-L035-G-V3</t>
  </si>
  <si>
    <t>20caea</t>
  </si>
  <si>
    <t>LAU2-L036-G-V3</t>
  </si>
  <si>
    <t>e45ddd</t>
  </si>
  <si>
    <t>LAU2-L037-G-V3</t>
  </si>
  <si>
    <t>4147cd</t>
  </si>
  <si>
    <t>LAU2-L038-G-V3</t>
  </si>
  <si>
    <t>ecd6aa</t>
  </si>
  <si>
    <t>LAU2-L039-G-V3</t>
  </si>
  <si>
    <t>92aa2e</t>
  </si>
  <si>
    <t>LAU2-L040-G-V3</t>
  </si>
  <si>
    <t>43ee63</t>
  </si>
  <si>
    <t>LAU2-L041-G-V3</t>
  </si>
  <si>
    <t>d783ea</t>
  </si>
  <si>
    <t>LAU2-L042-G-V3</t>
  </si>
  <si>
    <t>571cf0</t>
  </si>
  <si>
    <t>LAU2-L043-G-V3</t>
  </si>
  <si>
    <t>43de21</t>
  </si>
  <si>
    <t>LAU2-L044-G-V3</t>
  </si>
  <si>
    <t>3d82b4</t>
  </si>
  <si>
    <t>LAU2-L045-G-V3</t>
  </si>
  <si>
    <t>1c2eff</t>
  </si>
  <si>
    <t>LAU2-L046-G-V3</t>
  </si>
  <si>
    <t>b3c679</t>
  </si>
  <si>
    <t>LAU2-L047-G-V3</t>
  </si>
  <si>
    <t>ae8093</t>
  </si>
  <si>
    <t>LAU2-L048-G-V3</t>
  </si>
  <si>
    <t>f136c9</t>
  </si>
  <si>
    <t>LAU2-L049-G-V3</t>
  </si>
  <si>
    <t>6e3b9f</t>
  </si>
  <si>
    <t>LAU2-L050-G-V3</t>
  </si>
  <si>
    <t>51eefc</t>
  </si>
  <si>
    <t>LAU2-L051-G-V3</t>
  </si>
  <si>
    <t>6b78e9</t>
  </si>
  <si>
    <t>LAU2-L052-G-V3</t>
  </si>
  <si>
    <t>5ff296</t>
  </si>
  <si>
    <t>LAU2-L053-G-V3</t>
  </si>
  <si>
    <t>a6d9f5</t>
  </si>
  <si>
    <t>LAU2-L054-G-V3</t>
  </si>
  <si>
    <t>d5a986</t>
  </si>
  <si>
    <t>LAU2-L055-G-V3</t>
  </si>
  <si>
    <t>72a78c</t>
  </si>
  <si>
    <t>LAU2-L056-G-V3</t>
  </si>
  <si>
    <t>ca9405</t>
  </si>
  <si>
    <t>LAU2-L057-G-V3</t>
  </si>
  <si>
    <t>aee584</t>
  </si>
  <si>
    <t>LAU2-L058-G-V3</t>
  </si>
  <si>
    <t>f5cbd5</t>
  </si>
  <si>
    <t>LAU2-L059-G-V3</t>
  </si>
  <si>
    <t>89bc7b</t>
  </si>
  <si>
    <t>LAU2-L060-G-V3</t>
  </si>
  <si>
    <t>e09f64</t>
  </si>
  <si>
    <t>LAU2-L061-G-V3</t>
  </si>
  <si>
    <t>b72a09</t>
  </si>
  <si>
    <t>LAU2-L062-G-V3</t>
  </si>
  <si>
    <t>73c568</t>
  </si>
  <si>
    <t>LAU2-L063-G-V3</t>
  </si>
  <si>
    <t>e0ebcd</t>
  </si>
  <si>
    <t>LAU2-L064-G-V3</t>
  </si>
  <si>
    <t>2a395a</t>
  </si>
  <si>
    <t>LAU2-L065-G-V3</t>
  </si>
  <si>
    <t>3341ee</t>
  </si>
  <si>
    <t>LAU2-L066-G-V3</t>
  </si>
  <si>
    <t>666fe1</t>
  </si>
  <si>
    <t>LAU2-L068-G-V3</t>
  </si>
  <si>
    <t>3905cf</t>
  </si>
  <si>
    <t>LAU2-L069-G-V3</t>
  </si>
  <si>
    <t>fc163f</t>
  </si>
  <si>
    <t>LAU2-L070-G-V3</t>
  </si>
  <si>
    <t>d7b012</t>
  </si>
  <si>
    <t>LAU2-L071-G-V3</t>
  </si>
  <si>
    <t>e20a52</t>
  </si>
  <si>
    <t>LAU2-L072-G-V3</t>
  </si>
  <si>
    <t>2fa5c3</t>
  </si>
  <si>
    <t>LAU2-L073-G-V3</t>
  </si>
  <si>
    <t>9027f1</t>
  </si>
  <si>
    <t>LAU2-L074-G-V3</t>
  </si>
  <si>
    <t>f90a08</t>
  </si>
  <si>
    <t>LAU2-L075-G-V3</t>
  </si>
  <si>
    <t>c7a224</t>
  </si>
  <si>
    <t>LAU2-L076-G-V3</t>
  </si>
  <si>
    <t>8b9d47</t>
  </si>
  <si>
    <t>LAU2-L077-G-V3</t>
  </si>
  <si>
    <t>16733b</t>
  </si>
  <si>
    <t>LAU2-L078-G-V3</t>
  </si>
  <si>
    <t>aa9e0f</t>
  </si>
  <si>
    <t>LAU2-L079-G-V3</t>
  </si>
  <si>
    <t>LAU2-L080-G-V3</t>
  </si>
  <si>
    <t>2af076</t>
  </si>
  <si>
    <t>LAU2-L081-G-V3</t>
  </si>
  <si>
    <t>72fd0c</t>
  </si>
  <si>
    <t>LAU2-L082-G-V3</t>
  </si>
  <si>
    <t>6829a5</t>
  </si>
  <si>
    <t>LAU2-L083-G-V3</t>
  </si>
  <si>
    <t>3b6ac8</t>
  </si>
  <si>
    <t>LAU2-L084-G-V3</t>
  </si>
  <si>
    <t>0f4268</t>
  </si>
  <si>
    <t>LAU2-L085-G-V3</t>
  </si>
  <si>
    <t>cc31ce</t>
  </si>
  <si>
    <t>LAU2-L088-G-V3</t>
  </si>
  <si>
    <t>74e3bb</t>
  </si>
  <si>
    <t>LAU2-L089-G-V3</t>
  </si>
  <si>
    <t>f0590b</t>
  </si>
  <si>
    <t>LAU2-L090-G-V3</t>
  </si>
  <si>
    <t>9844a9</t>
  </si>
  <si>
    <t>LAU2-L092-G-V3</t>
  </si>
  <si>
    <t>e4c683</t>
  </si>
  <si>
    <t>LAU2-L093-G-V3</t>
  </si>
  <si>
    <t>b2c1ac</t>
  </si>
  <si>
    <t>LAU2-L094-G-V3</t>
  </si>
  <si>
    <t>c0cd37</t>
  </si>
  <si>
    <t>LAU2-L095-G-V3</t>
  </si>
  <si>
    <t>9f42fe</t>
  </si>
  <si>
    <t>LAU2-L096-G-V3</t>
  </si>
  <si>
    <t>d14754</t>
  </si>
  <si>
    <t>LAU2-L097-G-V3</t>
  </si>
  <si>
    <t>fb19c0</t>
  </si>
  <si>
    <t>LAU2-L098-G-V3</t>
  </si>
  <si>
    <t>174d1d</t>
  </si>
  <si>
    <t>LAU2-L099-G-V3</t>
  </si>
  <si>
    <t>2ec743</t>
  </si>
  <si>
    <t>LAU2-L100-G-V3</t>
  </si>
  <si>
    <t>0a0518</t>
  </si>
  <si>
    <t>LAU2-L101-G-V3</t>
  </si>
  <si>
    <t>deabbe</t>
  </si>
  <si>
    <t>LAU2-L102-G-V3</t>
  </si>
  <si>
    <t>LAU2-L104-G-V3</t>
  </si>
  <si>
    <t>43418f</t>
  </si>
  <si>
    <t>LAU2-L105-G-V3</t>
  </si>
  <si>
    <t>LAU2-L001-G-V6</t>
  </si>
  <si>
    <t>LAU2-L002-G-V6</t>
  </si>
  <si>
    <t>6a88e5</t>
  </si>
  <si>
    <t>LAU2-L067-G-V6</t>
  </si>
  <si>
    <t>LAU2-L017-G-V6</t>
  </si>
  <si>
    <t>LAU2-L013-G-V6</t>
  </si>
  <si>
    <t>ddebc8</t>
  </si>
  <si>
    <t>LAU2-L003-G-V6</t>
  </si>
  <si>
    <t>LAU2-L004-G-V6</t>
  </si>
  <si>
    <t>LAU2-L008-G-V6</t>
  </si>
  <si>
    <t>LAU2-L009-G-V6</t>
  </si>
  <si>
    <t>LAU2-L011-G-V6</t>
  </si>
  <si>
    <t>LAU2-L015-G-V6</t>
  </si>
  <si>
    <t>LAU2-L010-G-V6</t>
  </si>
  <si>
    <t>7636eb</t>
  </si>
  <si>
    <t>LAU2-L086-G-V6</t>
  </si>
  <si>
    <t>LAU2-L006-G-V6</t>
  </si>
  <si>
    <t>LAU2-L020-G-V6</t>
  </si>
  <si>
    <t>eaf745</t>
  </si>
  <si>
    <t>LAU2-L087-G-V6</t>
  </si>
  <si>
    <t>LAU2-L033-G-V6</t>
  </si>
  <si>
    <t>LAU2-L032-G-V6</t>
  </si>
  <si>
    <t>LAU2-L016-G-V6</t>
  </si>
  <si>
    <t>LAU2-L005-G-V6</t>
  </si>
  <si>
    <t>LAU2-L024-G-V6</t>
  </si>
  <si>
    <t>LAU2-L028-G-V6</t>
  </si>
  <si>
    <t>LAU2-L027-G-V6</t>
  </si>
  <si>
    <t>LAU2-L018-G-V6</t>
  </si>
  <si>
    <t>c4da3d</t>
  </si>
  <si>
    <t>LAU2-L091-G-V6</t>
  </si>
  <si>
    <t>LAU2-L021-G-V6</t>
  </si>
  <si>
    <t>LAU2-L019-G-V6</t>
  </si>
  <si>
    <t>LAU2-L030-G-V6</t>
  </si>
  <si>
    <t>LAU2-L036-G-V6</t>
  </si>
  <si>
    <t>LAU2-L048-G-V6</t>
  </si>
  <si>
    <t>LAU2-L023-G-V6</t>
  </si>
  <si>
    <t>LAU2-L049-G-V6</t>
  </si>
  <si>
    <t>LAU2-L012-G-V6</t>
  </si>
  <si>
    <t>LAU2-L029-G-V6</t>
  </si>
  <si>
    <t>LAU2-L007-G-V6</t>
  </si>
  <si>
    <t>LAU2-L025-G-V6</t>
  </si>
  <si>
    <t>LAU2-L046-G-V6</t>
  </si>
  <si>
    <t>LAU2-L042-G-V6</t>
  </si>
  <si>
    <t>LAU2-L054-G-V6</t>
  </si>
  <si>
    <t>LAU2-L038-G-V6</t>
  </si>
  <si>
    <t>LAU2-L041-G-V6</t>
  </si>
  <si>
    <t>LAU2-L039-G-V6</t>
  </si>
  <si>
    <t>LAU2-L035-G-V6</t>
  </si>
  <si>
    <t>LAU2-L044-G-V6</t>
  </si>
  <si>
    <t>LAU2-L051-G-V6</t>
  </si>
  <si>
    <t>LAU2-L037-G-V6</t>
  </si>
  <si>
    <t>LAU2-L055-G-V6</t>
  </si>
  <si>
    <t>LAU2-L058-G-V6</t>
  </si>
  <si>
    <t>LAU2-L056-G-V6</t>
  </si>
  <si>
    <t>LAU2-L060-G-V6</t>
  </si>
  <si>
    <t>LAU2-L066-G-V6</t>
  </si>
  <si>
    <t>LAU2-L065-G-V6</t>
  </si>
  <si>
    <t>LAU2-L034-G-V6</t>
  </si>
  <si>
    <t>LAU2-L062-G-V6</t>
  </si>
  <si>
    <t>LAU2-L057-G-V6</t>
  </si>
  <si>
    <t>LAU2-L059-G-V6</t>
  </si>
  <si>
    <t>LAU2-L070-G-V6</t>
  </si>
  <si>
    <t>LAU2-L072-G-V6</t>
  </si>
  <si>
    <t>LAU2-L069-G-V6</t>
  </si>
  <si>
    <t>LAU2-L077-G-V6</t>
  </si>
  <si>
    <t>LAU2-L071-G-V6</t>
  </si>
  <si>
    <t>LAU2-L043-G-V6</t>
  </si>
  <si>
    <t>LAU2-L061-G-V6</t>
  </si>
  <si>
    <t>LAU2-L081-G-V6</t>
  </si>
  <si>
    <t>LAU2-L063-G-V6</t>
  </si>
  <si>
    <t>d85c58</t>
  </si>
  <si>
    <t>LAU2-L103-G-V6</t>
  </si>
  <si>
    <t>LAU2-L080-G-V6</t>
  </si>
  <si>
    <t>LAU2-L084-G-V6</t>
  </si>
  <si>
    <t>LAU2-L083-G-V6</t>
  </si>
  <si>
    <t>LAU2-L076-G-V6</t>
  </si>
  <si>
    <t>LAU2-L040-G-V6</t>
  </si>
  <si>
    <t>LAU2-L052-G-V6</t>
  </si>
  <si>
    <t>LAU2-L074-G-V6</t>
  </si>
  <si>
    <t>LAU2-L093-G-V6</t>
  </si>
  <si>
    <t>LAU2-L096-G-V6</t>
  </si>
  <si>
    <t>1aca52</t>
  </si>
  <si>
    <t>LAU2-L106-G-V6</t>
  </si>
  <si>
    <t>LAU2-L097-G-V6</t>
  </si>
  <si>
    <t>LAU2-L047-G-V6</t>
  </si>
  <si>
    <t>LAU2-L079-G-V6</t>
  </si>
  <si>
    <t>LAU2-L022-G-V6</t>
  </si>
  <si>
    <t>LAU2-L094-G-V6</t>
  </si>
  <si>
    <t>LAU2-L089-G-V6</t>
  </si>
  <si>
    <t>LAU2-L082-G-V6</t>
  </si>
  <si>
    <t>ea0a50</t>
  </si>
  <si>
    <t>LAU2-L107-G-V6</t>
  </si>
  <si>
    <t>LAU2-L068-G-V6</t>
  </si>
  <si>
    <t>LAU2-L090-G-V6</t>
  </si>
  <si>
    <t>LAU2-L075-G-V6</t>
  </si>
  <si>
    <t>357d3c</t>
  </si>
  <si>
    <t>LAU2-L108-G-V6</t>
  </si>
  <si>
    <t>LAU2-L098-G-V6</t>
  </si>
  <si>
    <t>LAU2-L099-G-V6</t>
  </si>
  <si>
    <t>LAU2-L104-G-V6</t>
  </si>
  <si>
    <t>22a292</t>
  </si>
  <si>
    <t>LAU2-L110-G-V6</t>
  </si>
  <si>
    <t>LAU2-L100-G-V6</t>
  </si>
  <si>
    <t>608f38</t>
  </si>
  <si>
    <t>LAU2-L109-G-V6</t>
  </si>
  <si>
    <t>LAU2-L092-G-V6</t>
  </si>
  <si>
    <t>LAU2-L102-G-V6</t>
  </si>
  <si>
    <t>LAU2-L105-G-V6</t>
  </si>
  <si>
    <t>Y.R.Q</t>
  </si>
  <si>
    <t>Nivel 2</t>
  </si>
  <si>
    <t>box 1</t>
  </si>
  <si>
    <t>1 ml</t>
  </si>
  <si>
    <t>Ninguna</t>
  </si>
  <si>
    <t>Tubo transparente, casi nada de pellet</t>
  </si>
  <si>
    <t>Se baño antes de la toma de muestra</t>
  </si>
  <si>
    <t>Se baño antes de la toma de muestra y tuvo relaciones sexuales.</t>
  </si>
  <si>
    <t>Mucha mucosidad dificultad en el momento de generar el stock de glicerol</t>
  </si>
  <si>
    <t>box 2</t>
  </si>
  <si>
    <t>Tubo liquido rojizo</t>
  </si>
  <si>
    <t>Liquido rojizo</t>
  </si>
  <si>
    <t>Swab con poco volumen.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</si>
</sst>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b/>
      <sz val="12"/>
      <color theme="1"/>
      <name val="Calibri"/>
      <family val="2"/>
    </font>
    <font>
      <sz val="12"/>
      <color rgb="FF1F1F1F"/>
      <name val="Calibri"/>
      <family val="2"/>
    </font>
    <font>
      <b/>
      <sz val="12"/>
      <color rgb="FF000000"/>
      <name val="Calibri"/>
      <family val="2"/>
    </font>
    <font>
      <b/>
      <sz val="11"/>
      <color theme="1"/>
      <name val="Arial"/>
      <family val="2"/>
    </font>
    <font>
      <b/>
      <sz val="12"/>
      <color rgb="FF1F1F1F"/>
      <name val="Calibri"/>
      <family val="2"/>
    </font>
    <font>
      <b/>
      <sz val="12"/>
      <color theme="1"/>
      <name val="Arial"/>
      <family val="2"/>
    </font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3" fillId="0" borderId="5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/>
    </xf>
    <xf numFmtId="0" fontId="3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wrapText="1"/>
    </xf>
    <xf numFmtId="0" fontId="8" fillId="0" borderId="6" xfId="0" applyFont="1" applyBorder="1" applyAlignment="1">
      <alignment horizontal="center" wrapText="1"/>
    </xf>
    <xf numFmtId="0" fontId="7" fillId="0" borderId="7" xfId="0" applyFont="1" applyBorder="1" applyAlignment="1">
      <alignment horizontal="center" wrapText="1"/>
    </xf>
    <xf numFmtId="0" fontId="8" fillId="0" borderId="7" xfId="0" applyFont="1" applyBorder="1" applyAlignment="1">
      <alignment horizontal="center" wrapText="1"/>
    </xf>
    <xf numFmtId="0" fontId="7" fillId="0" borderId="8" xfId="0" applyFont="1" applyBorder="1" applyAlignment="1">
      <alignment horizontal="center" wrapText="1"/>
    </xf>
    <xf numFmtId="14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4" fontId="9" fillId="0" borderId="2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14" fontId="9" fillId="0" borderId="3" xfId="0" applyNumberFormat="1" applyFont="1" applyBorder="1" applyAlignment="1">
      <alignment horizontal="center" vertical="center"/>
    </xf>
    <xf numFmtId="14" fontId="9" fillId="0" borderId="5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14" fontId="9" fillId="0" borderId="9" xfId="0" applyNumberFormat="1" applyFont="1" applyBorder="1" applyAlignment="1">
      <alignment horizontal="center" vertical="center"/>
    </xf>
    <xf numFmtId="14" fontId="2" fillId="0" borderId="9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4" fontId="2" fillId="0" borderId="6" xfId="0" applyNumberFormat="1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14" fontId="2" fillId="0" borderId="7" xfId="0" applyNumberFormat="1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14" fontId="2" fillId="0" borderId="11" xfId="0" applyNumberFormat="1" applyFont="1" applyBorder="1" applyAlignment="1">
      <alignment horizontal="center" vertical="center"/>
    </xf>
    <xf numFmtId="14" fontId="2" fillId="0" borderId="12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8"/>
  <sheetViews>
    <sheetView tabSelected="1" workbookViewId="0">
      <pane ySplit="1" topLeftCell="A2" activePane="bottomLeft" state="frozen"/>
      <selection pane="bottomLeft" activeCell="F74" sqref="F74"/>
    </sheetView>
  </sheetViews>
  <sheetFormatPr baseColWidth="10" defaultColWidth="9.140625" defaultRowHeight="15" x14ac:dyDescent="0.25"/>
  <cols>
    <col min="1" max="1" width="15.7109375" bestFit="1" customWidth="1"/>
    <col min="2" max="2" width="5.140625" customWidth="1"/>
    <col min="3" max="3" width="4.5703125" customWidth="1"/>
    <col min="4" max="4" width="12.28515625" bestFit="1" customWidth="1"/>
    <col min="5" max="5" width="16.42578125" bestFit="1" customWidth="1"/>
    <col min="6" max="6" width="14.42578125" bestFit="1" customWidth="1"/>
    <col min="7" max="7" width="6.7109375" bestFit="1" customWidth="1"/>
    <col min="8" max="8" width="36" bestFit="1" customWidth="1"/>
    <col min="9" max="9" width="9.42578125" customWidth="1"/>
    <col min="10" max="10" width="23.42578125" bestFit="1" customWidth="1"/>
    <col min="11" max="11" width="10" bestFit="1" customWidth="1"/>
    <col min="12" max="12" width="30.5703125" bestFit="1" customWidth="1"/>
    <col min="13" max="13" width="21.85546875" bestFit="1" customWidth="1"/>
    <col min="14" max="14" width="14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x14ac:dyDescent="0.25">
      <c r="A2" t="str">
        <f>SUBSTITUTE(E2,"-G-","-SG-")</f>
        <v>LAU2-L001-SG-V3</v>
      </c>
      <c r="D2" s="2" t="s">
        <v>14</v>
      </c>
      <c r="E2" s="3" t="s">
        <v>15</v>
      </c>
      <c r="F2" t="str">
        <f>SUBSTITUTE(E2,"-G-","-S-")</f>
        <v>LAU2-L001-S-V3</v>
      </c>
      <c r="G2">
        <v>3</v>
      </c>
      <c r="H2" s="28">
        <v>45831</v>
      </c>
      <c r="I2" s="29" t="s">
        <v>320</v>
      </c>
      <c r="J2" s="29" t="s">
        <v>321</v>
      </c>
      <c r="K2" s="29" t="s">
        <v>322</v>
      </c>
      <c r="L2" s="29">
        <v>1</v>
      </c>
      <c r="M2" s="29" t="s">
        <v>323</v>
      </c>
      <c r="N2" s="29" t="s">
        <v>324</v>
      </c>
    </row>
    <row r="3" spans="1:14" ht="15.75" x14ac:dyDescent="0.25">
      <c r="A3" t="str">
        <f t="shared" ref="A3:A66" si="0">SUBSTITUTE(E3,"-G-","-SG-")</f>
        <v>LAU2-L002-SG-V3</v>
      </c>
      <c r="D3" s="4" t="s">
        <v>16</v>
      </c>
      <c r="E3" s="3" t="s">
        <v>17</v>
      </c>
      <c r="F3" t="str">
        <f t="shared" ref="F3:F66" si="1">SUBSTITUTE(E3,"-G-","-S-")</f>
        <v>LAU2-L002-S-V3</v>
      </c>
      <c r="G3">
        <v>3</v>
      </c>
      <c r="H3" s="28">
        <v>45831</v>
      </c>
      <c r="I3" s="29" t="s">
        <v>320</v>
      </c>
      <c r="J3" s="29" t="s">
        <v>321</v>
      </c>
      <c r="K3" s="29" t="s">
        <v>322</v>
      </c>
      <c r="L3" s="29">
        <v>2</v>
      </c>
      <c r="M3" s="29" t="s">
        <v>323</v>
      </c>
      <c r="N3" s="29" t="s">
        <v>324</v>
      </c>
    </row>
    <row r="4" spans="1:14" ht="15.75" x14ac:dyDescent="0.25">
      <c r="A4" t="str">
        <f t="shared" si="0"/>
        <v>LAU2-L003-SG-V3</v>
      </c>
      <c r="D4" s="5" t="s">
        <v>18</v>
      </c>
      <c r="E4" s="3" t="s">
        <v>19</v>
      </c>
      <c r="F4" t="str">
        <f t="shared" si="1"/>
        <v>LAU2-L003-S-V3</v>
      </c>
      <c r="G4">
        <v>3</v>
      </c>
      <c r="H4" s="30">
        <v>45833</v>
      </c>
      <c r="I4" s="29" t="s">
        <v>320</v>
      </c>
      <c r="J4" s="29" t="s">
        <v>321</v>
      </c>
      <c r="K4" s="29" t="s">
        <v>322</v>
      </c>
      <c r="L4" s="31">
        <v>3</v>
      </c>
      <c r="M4" s="29" t="s">
        <v>323</v>
      </c>
      <c r="N4" s="29" t="s">
        <v>324</v>
      </c>
    </row>
    <row r="5" spans="1:14" ht="15.75" x14ac:dyDescent="0.25">
      <c r="A5" t="str">
        <f t="shared" si="0"/>
        <v>LAU2-L004-SG-V3</v>
      </c>
      <c r="D5" s="2" t="s">
        <v>20</v>
      </c>
      <c r="E5" s="6" t="s">
        <v>21</v>
      </c>
      <c r="F5" t="str">
        <f t="shared" si="1"/>
        <v>LAU2-L004-S-V3</v>
      </c>
      <c r="G5">
        <v>3</v>
      </c>
      <c r="H5" s="30">
        <v>45833</v>
      </c>
      <c r="I5" s="29" t="s">
        <v>320</v>
      </c>
      <c r="J5" s="29" t="s">
        <v>321</v>
      </c>
      <c r="K5" s="29" t="s">
        <v>322</v>
      </c>
      <c r="L5" s="29">
        <v>4</v>
      </c>
      <c r="M5" s="29" t="s">
        <v>323</v>
      </c>
      <c r="N5" s="29" t="s">
        <v>324</v>
      </c>
    </row>
    <row r="6" spans="1:14" ht="15.75" x14ac:dyDescent="0.25">
      <c r="A6" t="str">
        <f t="shared" si="0"/>
        <v>LAU2-L005-SG-V3</v>
      </c>
      <c r="D6" s="2" t="s">
        <v>22</v>
      </c>
      <c r="E6" s="6" t="s">
        <v>23</v>
      </c>
      <c r="F6" t="str">
        <f t="shared" si="1"/>
        <v>LAU2-L005-S-V3</v>
      </c>
      <c r="G6">
        <v>3</v>
      </c>
      <c r="H6" s="28">
        <v>45838</v>
      </c>
      <c r="I6" s="29" t="s">
        <v>320</v>
      </c>
      <c r="J6" s="29" t="s">
        <v>321</v>
      </c>
      <c r="K6" s="29" t="s">
        <v>322</v>
      </c>
      <c r="L6" s="29">
        <v>5</v>
      </c>
      <c r="M6" s="29" t="s">
        <v>323</v>
      </c>
      <c r="N6" s="29" t="s">
        <v>324</v>
      </c>
    </row>
    <row r="7" spans="1:14" ht="15.75" x14ac:dyDescent="0.25">
      <c r="A7" t="str">
        <f t="shared" si="0"/>
        <v>LAU2-L006-SG-V3</v>
      </c>
      <c r="D7" s="2" t="s">
        <v>24</v>
      </c>
      <c r="E7" s="6" t="s">
        <v>25</v>
      </c>
      <c r="F7" t="str">
        <f t="shared" si="1"/>
        <v>LAU2-L006-S-V3</v>
      </c>
      <c r="G7">
        <v>3</v>
      </c>
      <c r="H7" s="28">
        <v>45838</v>
      </c>
      <c r="I7" s="29" t="s">
        <v>320</v>
      </c>
      <c r="J7" s="29" t="s">
        <v>321</v>
      </c>
      <c r="K7" s="29" t="s">
        <v>322</v>
      </c>
      <c r="L7" s="29">
        <v>6</v>
      </c>
      <c r="M7" s="29" t="s">
        <v>323</v>
      </c>
      <c r="N7" s="29" t="s">
        <v>324</v>
      </c>
    </row>
    <row r="8" spans="1:14" ht="15.75" x14ac:dyDescent="0.25">
      <c r="A8" t="str">
        <f t="shared" si="0"/>
        <v>LAU2-L007-SG-V3</v>
      </c>
      <c r="D8" s="2" t="s">
        <v>26</v>
      </c>
      <c r="E8" s="6" t="s">
        <v>27</v>
      </c>
      <c r="F8" t="str">
        <f t="shared" si="1"/>
        <v>LAU2-L007-S-V3</v>
      </c>
      <c r="G8">
        <v>3</v>
      </c>
      <c r="H8" s="28">
        <v>45838</v>
      </c>
      <c r="I8" s="29" t="s">
        <v>320</v>
      </c>
      <c r="J8" s="29" t="s">
        <v>321</v>
      </c>
      <c r="K8" s="29" t="s">
        <v>322</v>
      </c>
      <c r="L8" s="29">
        <v>7</v>
      </c>
      <c r="M8" s="29" t="s">
        <v>323</v>
      </c>
      <c r="N8" s="29" t="s">
        <v>324</v>
      </c>
    </row>
    <row r="9" spans="1:14" ht="15.75" x14ac:dyDescent="0.25">
      <c r="A9" t="str">
        <f t="shared" si="0"/>
        <v>LAU2-L008-SG-V3</v>
      </c>
      <c r="D9" s="2" t="s">
        <v>28</v>
      </c>
      <c r="E9" s="6" t="s">
        <v>29</v>
      </c>
      <c r="F9" t="str">
        <f t="shared" si="1"/>
        <v>LAU2-L008-S-V3</v>
      </c>
      <c r="G9">
        <v>3</v>
      </c>
      <c r="H9" s="28">
        <v>45838</v>
      </c>
      <c r="I9" s="29" t="s">
        <v>320</v>
      </c>
      <c r="J9" s="29" t="s">
        <v>321</v>
      </c>
      <c r="K9" s="29" t="s">
        <v>322</v>
      </c>
      <c r="L9" s="29">
        <v>8</v>
      </c>
      <c r="M9" s="29" t="s">
        <v>323</v>
      </c>
      <c r="N9" s="29" t="s">
        <v>324</v>
      </c>
    </row>
    <row r="10" spans="1:14" ht="15.75" x14ac:dyDescent="0.25">
      <c r="A10" t="str">
        <f t="shared" si="0"/>
        <v>LAU2-L009-SG-V3</v>
      </c>
      <c r="D10" s="2" t="s">
        <v>30</v>
      </c>
      <c r="E10" s="6" t="s">
        <v>31</v>
      </c>
      <c r="F10" t="str">
        <f t="shared" si="1"/>
        <v>LAU2-L009-S-V3</v>
      </c>
      <c r="G10">
        <v>3</v>
      </c>
      <c r="H10" s="28">
        <v>45838</v>
      </c>
      <c r="I10" s="29" t="s">
        <v>320</v>
      </c>
      <c r="J10" s="29" t="s">
        <v>321</v>
      </c>
      <c r="K10" s="29" t="s">
        <v>322</v>
      </c>
      <c r="L10" s="29">
        <v>9</v>
      </c>
      <c r="M10" s="29" t="s">
        <v>323</v>
      </c>
      <c r="N10" s="29" t="s">
        <v>324</v>
      </c>
    </row>
    <row r="11" spans="1:14" ht="15.75" x14ac:dyDescent="0.25">
      <c r="A11" t="str">
        <f t="shared" si="0"/>
        <v>LAU2-L010-SG-V3</v>
      </c>
      <c r="D11" s="2" t="s">
        <v>32</v>
      </c>
      <c r="E11" s="6" t="s">
        <v>33</v>
      </c>
      <c r="F11" t="str">
        <f t="shared" si="1"/>
        <v>LAU2-L010-S-V3</v>
      </c>
      <c r="G11">
        <v>3</v>
      </c>
      <c r="H11" s="28">
        <v>45838</v>
      </c>
      <c r="I11" s="29" t="s">
        <v>320</v>
      </c>
      <c r="J11" s="29" t="s">
        <v>321</v>
      </c>
      <c r="K11" s="29" t="s">
        <v>322</v>
      </c>
      <c r="L11" s="29">
        <v>10</v>
      </c>
      <c r="M11" s="29" t="s">
        <v>323</v>
      </c>
      <c r="N11" s="29" t="s">
        <v>324</v>
      </c>
    </row>
    <row r="12" spans="1:14" ht="15.75" x14ac:dyDescent="0.25">
      <c r="A12" t="str">
        <f t="shared" si="0"/>
        <v>LAU2-L011-SG-V3</v>
      </c>
      <c r="D12" s="2" t="s">
        <v>34</v>
      </c>
      <c r="E12" s="6" t="s">
        <v>35</v>
      </c>
      <c r="F12" t="str">
        <f t="shared" si="1"/>
        <v>LAU2-L011-S-V3</v>
      </c>
      <c r="G12">
        <v>3</v>
      </c>
      <c r="H12" s="28">
        <v>45838</v>
      </c>
      <c r="I12" s="29" t="s">
        <v>320</v>
      </c>
      <c r="J12" s="29" t="s">
        <v>321</v>
      </c>
      <c r="K12" s="29" t="s">
        <v>322</v>
      </c>
      <c r="L12" s="29">
        <v>11</v>
      </c>
      <c r="M12" s="29" t="s">
        <v>323</v>
      </c>
      <c r="N12" s="29" t="s">
        <v>324</v>
      </c>
    </row>
    <row r="13" spans="1:14" ht="15.75" x14ac:dyDescent="0.25">
      <c r="A13" t="str">
        <f t="shared" si="0"/>
        <v>LAU2-L012-SG-V3</v>
      </c>
      <c r="D13" s="2" t="s">
        <v>36</v>
      </c>
      <c r="E13" s="6" t="s">
        <v>37</v>
      </c>
      <c r="F13" t="str">
        <f t="shared" si="1"/>
        <v>LAU2-L012-S-V3</v>
      </c>
      <c r="G13">
        <v>3</v>
      </c>
      <c r="H13" s="28">
        <v>45839</v>
      </c>
      <c r="I13" s="29" t="s">
        <v>320</v>
      </c>
      <c r="J13" s="29" t="s">
        <v>321</v>
      </c>
      <c r="K13" s="29" t="s">
        <v>322</v>
      </c>
      <c r="L13" s="29">
        <v>12</v>
      </c>
      <c r="M13" s="29" t="s">
        <v>323</v>
      </c>
      <c r="N13" s="29" t="s">
        <v>324</v>
      </c>
    </row>
    <row r="14" spans="1:14" ht="15.75" x14ac:dyDescent="0.25">
      <c r="A14" t="str">
        <f t="shared" si="0"/>
        <v>LAU2-L013-SG-V3</v>
      </c>
      <c r="D14" s="7" t="s">
        <v>38</v>
      </c>
      <c r="E14" s="6" t="s">
        <v>39</v>
      </c>
      <c r="F14" t="str">
        <f t="shared" si="1"/>
        <v>LAU2-L013-S-V3</v>
      </c>
      <c r="G14">
        <v>3</v>
      </c>
      <c r="H14" s="28">
        <v>45839</v>
      </c>
      <c r="I14" s="29" t="s">
        <v>320</v>
      </c>
      <c r="J14" s="29" t="s">
        <v>321</v>
      </c>
      <c r="K14" s="29" t="s">
        <v>322</v>
      </c>
      <c r="L14" s="29">
        <v>13</v>
      </c>
      <c r="M14" s="29" t="s">
        <v>323</v>
      </c>
      <c r="N14" s="29" t="s">
        <v>324</v>
      </c>
    </row>
    <row r="15" spans="1:14" ht="15.75" x14ac:dyDescent="0.25">
      <c r="A15" t="str">
        <f t="shared" si="0"/>
        <v>LAU2-L014-SG-V3</v>
      </c>
      <c r="D15" s="4" t="s">
        <v>40</v>
      </c>
      <c r="E15" s="6" t="s">
        <v>41</v>
      </c>
      <c r="F15" t="str">
        <f t="shared" si="1"/>
        <v>LAU2-L014-S-V3</v>
      </c>
      <c r="G15">
        <v>3</v>
      </c>
      <c r="H15" s="28">
        <v>45839</v>
      </c>
      <c r="I15" s="29" t="s">
        <v>320</v>
      </c>
      <c r="J15" s="29" t="s">
        <v>321</v>
      </c>
      <c r="K15" s="29" t="s">
        <v>322</v>
      </c>
      <c r="L15" s="29">
        <v>14</v>
      </c>
      <c r="M15" s="29" t="s">
        <v>323</v>
      </c>
      <c r="N15" s="29" t="s">
        <v>324</v>
      </c>
    </row>
    <row r="16" spans="1:14" ht="15.75" x14ac:dyDescent="0.25">
      <c r="A16" t="str">
        <f t="shared" si="0"/>
        <v>LAU2-L015-SG-V3</v>
      </c>
      <c r="D16" s="4" t="s">
        <v>42</v>
      </c>
      <c r="E16" s="6" t="s">
        <v>43</v>
      </c>
      <c r="F16" t="str">
        <f t="shared" si="1"/>
        <v>LAU2-L015-S-V3</v>
      </c>
      <c r="G16">
        <v>3</v>
      </c>
      <c r="H16" s="28">
        <v>45840</v>
      </c>
      <c r="I16" s="29" t="s">
        <v>320</v>
      </c>
      <c r="J16" s="29" t="s">
        <v>321</v>
      </c>
      <c r="K16" s="29" t="s">
        <v>322</v>
      </c>
      <c r="L16" s="29">
        <v>15</v>
      </c>
      <c r="M16" s="29" t="s">
        <v>323</v>
      </c>
      <c r="N16" s="29" t="s">
        <v>324</v>
      </c>
    </row>
    <row r="17" spans="1:14" ht="15.75" x14ac:dyDescent="0.25">
      <c r="A17" t="str">
        <f t="shared" si="0"/>
        <v>LAU2-L016-SG-V3</v>
      </c>
      <c r="D17" s="2" t="s">
        <v>44</v>
      </c>
      <c r="E17" s="6" t="s">
        <v>45</v>
      </c>
      <c r="F17" t="str">
        <f t="shared" si="1"/>
        <v>LAU2-L016-S-V3</v>
      </c>
      <c r="G17">
        <v>3</v>
      </c>
      <c r="H17" s="28">
        <v>45841</v>
      </c>
      <c r="I17" s="29" t="s">
        <v>320</v>
      </c>
      <c r="J17" s="29" t="s">
        <v>321</v>
      </c>
      <c r="K17" s="29" t="s">
        <v>322</v>
      </c>
      <c r="L17" s="29">
        <v>16</v>
      </c>
      <c r="M17" s="29" t="s">
        <v>323</v>
      </c>
      <c r="N17" s="29" t="s">
        <v>324</v>
      </c>
    </row>
    <row r="18" spans="1:14" ht="15.75" x14ac:dyDescent="0.25">
      <c r="A18" t="str">
        <f t="shared" si="0"/>
        <v>LAU2-L017-SG-V3</v>
      </c>
      <c r="D18" s="2" t="s">
        <v>46</v>
      </c>
      <c r="E18" s="6" t="s">
        <v>47</v>
      </c>
      <c r="F18" t="str">
        <f t="shared" si="1"/>
        <v>LAU2-L017-S-V3</v>
      </c>
      <c r="G18">
        <v>3</v>
      </c>
      <c r="H18" s="28">
        <v>45841</v>
      </c>
      <c r="I18" s="29" t="s">
        <v>320</v>
      </c>
      <c r="J18" s="29" t="s">
        <v>321</v>
      </c>
      <c r="K18" s="29" t="s">
        <v>322</v>
      </c>
      <c r="L18" s="29">
        <v>17</v>
      </c>
      <c r="M18" s="29" t="s">
        <v>323</v>
      </c>
      <c r="N18" s="29" t="s">
        <v>324</v>
      </c>
    </row>
    <row r="19" spans="1:14" ht="15.75" x14ac:dyDescent="0.25">
      <c r="A19" t="str">
        <f t="shared" si="0"/>
        <v>LAU2-L018-SG-V3</v>
      </c>
      <c r="D19" s="2" t="s">
        <v>48</v>
      </c>
      <c r="E19" s="6" t="s">
        <v>49</v>
      </c>
      <c r="F19" t="str">
        <f t="shared" si="1"/>
        <v>LAU2-L018-S-V3</v>
      </c>
      <c r="G19">
        <v>3</v>
      </c>
      <c r="H19" s="28">
        <v>45841</v>
      </c>
      <c r="I19" s="29" t="s">
        <v>320</v>
      </c>
      <c r="J19" s="29" t="s">
        <v>321</v>
      </c>
      <c r="K19" s="29" t="s">
        <v>322</v>
      </c>
      <c r="L19" s="29">
        <v>18</v>
      </c>
      <c r="M19" s="29" t="s">
        <v>323</v>
      </c>
      <c r="N19" s="29" t="s">
        <v>324</v>
      </c>
    </row>
    <row r="20" spans="1:14" ht="15.75" x14ac:dyDescent="0.25">
      <c r="A20" t="str">
        <f t="shared" si="0"/>
        <v>LAU2-L019-SG-V3</v>
      </c>
      <c r="D20" s="2" t="s">
        <v>50</v>
      </c>
      <c r="E20" s="6" t="s">
        <v>51</v>
      </c>
      <c r="F20" t="str">
        <f t="shared" si="1"/>
        <v>LAU2-L019-S-V3</v>
      </c>
      <c r="G20">
        <v>3</v>
      </c>
      <c r="H20" s="28">
        <v>45841</v>
      </c>
      <c r="I20" s="29" t="s">
        <v>320</v>
      </c>
      <c r="J20" s="29" t="s">
        <v>321</v>
      </c>
      <c r="K20" s="29" t="s">
        <v>322</v>
      </c>
      <c r="L20" s="29">
        <v>19</v>
      </c>
      <c r="M20" s="29" t="s">
        <v>323</v>
      </c>
      <c r="N20" s="29" t="s">
        <v>324</v>
      </c>
    </row>
    <row r="21" spans="1:14" ht="15.75" x14ac:dyDescent="0.25">
      <c r="A21" t="str">
        <f t="shared" si="0"/>
        <v>LAU2-L020-SG-V3</v>
      </c>
      <c r="D21" s="2" t="s">
        <v>52</v>
      </c>
      <c r="E21" s="6" t="s">
        <v>53</v>
      </c>
      <c r="F21" t="str">
        <f t="shared" si="1"/>
        <v>LAU2-L020-S-V3</v>
      </c>
      <c r="G21">
        <v>3</v>
      </c>
      <c r="H21" s="28">
        <v>45841</v>
      </c>
      <c r="I21" s="29" t="s">
        <v>320</v>
      </c>
      <c r="J21" s="29" t="s">
        <v>321</v>
      </c>
      <c r="K21" s="29" t="s">
        <v>322</v>
      </c>
      <c r="L21" s="29">
        <v>20</v>
      </c>
      <c r="M21" s="29" t="s">
        <v>323</v>
      </c>
      <c r="N21" s="29" t="s">
        <v>324</v>
      </c>
    </row>
    <row r="22" spans="1:14" ht="15.75" x14ac:dyDescent="0.25">
      <c r="A22" t="str">
        <f t="shared" si="0"/>
        <v>LAU2-L021-SG-V3</v>
      </c>
      <c r="D22" s="7" t="s">
        <v>54</v>
      </c>
      <c r="E22" s="6" t="s">
        <v>55</v>
      </c>
      <c r="F22" t="str">
        <f t="shared" si="1"/>
        <v>LAU2-L021-S-V3</v>
      </c>
      <c r="G22">
        <v>3</v>
      </c>
      <c r="H22" s="28">
        <v>45842</v>
      </c>
      <c r="I22" s="29" t="s">
        <v>320</v>
      </c>
      <c r="J22" s="29" t="s">
        <v>321</v>
      </c>
      <c r="K22" s="29" t="s">
        <v>322</v>
      </c>
      <c r="L22" s="29">
        <v>21</v>
      </c>
      <c r="M22" s="29" t="s">
        <v>323</v>
      </c>
      <c r="N22" s="29" t="s">
        <v>324</v>
      </c>
    </row>
    <row r="23" spans="1:14" ht="15.75" x14ac:dyDescent="0.25">
      <c r="A23" t="str">
        <f t="shared" si="0"/>
        <v>LAU2-L022-SG-V3</v>
      </c>
      <c r="D23" s="8" t="s">
        <v>56</v>
      </c>
      <c r="E23" s="6" t="s">
        <v>57</v>
      </c>
      <c r="F23" t="str">
        <f t="shared" si="1"/>
        <v>LAU2-L022-S-V3</v>
      </c>
      <c r="G23">
        <v>3</v>
      </c>
      <c r="H23" s="32">
        <v>45845</v>
      </c>
      <c r="I23" s="29" t="s">
        <v>320</v>
      </c>
      <c r="J23" s="29" t="s">
        <v>321</v>
      </c>
      <c r="K23" s="29" t="s">
        <v>322</v>
      </c>
      <c r="L23" s="29">
        <v>22</v>
      </c>
      <c r="M23" s="29" t="s">
        <v>323</v>
      </c>
      <c r="N23" s="29" t="s">
        <v>324</v>
      </c>
    </row>
    <row r="24" spans="1:14" ht="15.75" x14ac:dyDescent="0.25">
      <c r="A24" t="str">
        <f t="shared" si="0"/>
        <v>LAU2-L023-SG-V3</v>
      </c>
      <c r="D24" s="8" t="s">
        <v>58</v>
      </c>
      <c r="E24" s="6" t="s">
        <v>59</v>
      </c>
      <c r="F24" t="str">
        <f t="shared" si="1"/>
        <v>LAU2-L023-S-V3</v>
      </c>
      <c r="G24">
        <v>3</v>
      </c>
      <c r="H24" s="32">
        <v>45845</v>
      </c>
      <c r="I24" s="29" t="s">
        <v>320</v>
      </c>
      <c r="J24" s="29" t="s">
        <v>321</v>
      </c>
      <c r="K24" s="29" t="s">
        <v>322</v>
      </c>
      <c r="L24" s="29">
        <v>23</v>
      </c>
      <c r="M24" s="29" t="s">
        <v>323</v>
      </c>
      <c r="N24" s="29" t="s">
        <v>324</v>
      </c>
    </row>
    <row r="25" spans="1:14" ht="15.75" x14ac:dyDescent="0.25">
      <c r="A25" t="str">
        <f t="shared" si="0"/>
        <v>LAU2-L024-SG-V3</v>
      </c>
      <c r="D25" s="8" t="s">
        <v>60</v>
      </c>
      <c r="E25" s="6" t="s">
        <v>61</v>
      </c>
      <c r="F25" t="str">
        <f t="shared" si="1"/>
        <v>LAU2-L024-S-V3</v>
      </c>
      <c r="G25">
        <v>3</v>
      </c>
      <c r="H25" s="32">
        <v>45845</v>
      </c>
      <c r="I25" s="29" t="s">
        <v>320</v>
      </c>
      <c r="J25" s="29" t="s">
        <v>321</v>
      </c>
      <c r="K25" s="29" t="s">
        <v>322</v>
      </c>
      <c r="L25" s="29">
        <v>24</v>
      </c>
      <c r="M25" s="29" t="s">
        <v>323</v>
      </c>
      <c r="N25" s="29" t="s">
        <v>324</v>
      </c>
    </row>
    <row r="26" spans="1:14" ht="15.75" x14ac:dyDescent="0.25">
      <c r="A26" t="str">
        <f t="shared" si="0"/>
        <v>LAU2-L025-SG-V3</v>
      </c>
      <c r="D26" s="8" t="s">
        <v>62</v>
      </c>
      <c r="E26" s="6" t="s">
        <v>63</v>
      </c>
      <c r="F26" t="str">
        <f t="shared" si="1"/>
        <v>LAU2-L025-S-V3</v>
      </c>
      <c r="G26">
        <v>3</v>
      </c>
      <c r="H26" s="32">
        <v>45845</v>
      </c>
      <c r="I26" s="29" t="s">
        <v>320</v>
      </c>
      <c r="J26" s="29" t="s">
        <v>321</v>
      </c>
      <c r="K26" s="29" t="s">
        <v>322</v>
      </c>
      <c r="L26" s="29">
        <v>25</v>
      </c>
      <c r="M26" s="29" t="s">
        <v>323</v>
      </c>
      <c r="N26" s="29" t="s">
        <v>324</v>
      </c>
    </row>
    <row r="27" spans="1:14" ht="15.75" x14ac:dyDescent="0.25">
      <c r="A27" t="str">
        <f t="shared" si="0"/>
        <v>LAU2-L026-SG-V3</v>
      </c>
      <c r="D27" s="8" t="s">
        <v>64</v>
      </c>
      <c r="E27" s="6" t="s">
        <v>65</v>
      </c>
      <c r="F27" t="str">
        <f t="shared" si="1"/>
        <v>LAU2-L026-S-V3</v>
      </c>
      <c r="G27">
        <v>3</v>
      </c>
      <c r="H27" s="32">
        <v>45845</v>
      </c>
      <c r="I27" s="29" t="s">
        <v>320</v>
      </c>
      <c r="J27" s="29" t="s">
        <v>321</v>
      </c>
      <c r="K27" s="29" t="s">
        <v>322</v>
      </c>
      <c r="L27" s="29">
        <v>26</v>
      </c>
      <c r="M27" s="29" t="s">
        <v>323</v>
      </c>
      <c r="N27" s="29" t="s">
        <v>324</v>
      </c>
    </row>
    <row r="28" spans="1:14" ht="15.75" x14ac:dyDescent="0.25">
      <c r="A28" t="str">
        <f t="shared" si="0"/>
        <v>LAU2-L027-SG-V3</v>
      </c>
      <c r="D28" s="8" t="s">
        <v>66</v>
      </c>
      <c r="E28" s="6" t="s">
        <v>67</v>
      </c>
      <c r="F28" t="str">
        <f t="shared" si="1"/>
        <v>LAU2-L027-S-V3</v>
      </c>
      <c r="G28">
        <v>3</v>
      </c>
      <c r="H28" s="32">
        <v>45845</v>
      </c>
      <c r="I28" s="29" t="s">
        <v>320</v>
      </c>
      <c r="J28" s="29" t="s">
        <v>321</v>
      </c>
      <c r="K28" s="29" t="s">
        <v>322</v>
      </c>
      <c r="L28" s="29">
        <v>27</v>
      </c>
      <c r="M28" s="29" t="s">
        <v>323</v>
      </c>
      <c r="N28" s="29" t="s">
        <v>324</v>
      </c>
    </row>
    <row r="29" spans="1:14" ht="15.75" x14ac:dyDescent="0.25">
      <c r="A29" t="str">
        <f t="shared" si="0"/>
        <v>LAU2-L028-SG-V3</v>
      </c>
      <c r="D29" s="9" t="s">
        <v>68</v>
      </c>
      <c r="E29" s="10" t="s">
        <v>69</v>
      </c>
      <c r="F29" t="str">
        <f t="shared" si="1"/>
        <v>LAU2-L028-S-V3</v>
      </c>
      <c r="G29">
        <v>3</v>
      </c>
      <c r="H29" s="33">
        <v>45845</v>
      </c>
      <c r="I29" s="34" t="s">
        <v>320</v>
      </c>
      <c r="J29" s="34" t="s">
        <v>321</v>
      </c>
      <c r="K29" s="29" t="s">
        <v>322</v>
      </c>
      <c r="L29" s="34">
        <v>28</v>
      </c>
      <c r="M29" s="34" t="s">
        <v>323</v>
      </c>
      <c r="N29" s="34" t="s">
        <v>324</v>
      </c>
    </row>
    <row r="30" spans="1:14" ht="15.75" x14ac:dyDescent="0.25">
      <c r="A30" t="str">
        <f t="shared" si="0"/>
        <v>LAU2-L029-SG-V3</v>
      </c>
      <c r="D30" s="9" t="s">
        <v>70</v>
      </c>
      <c r="E30" s="10" t="s">
        <v>71</v>
      </c>
      <c r="F30" t="str">
        <f t="shared" si="1"/>
        <v>LAU2-L029-S-V3</v>
      </c>
      <c r="G30">
        <v>3</v>
      </c>
      <c r="H30" s="33">
        <v>45846</v>
      </c>
      <c r="I30" s="34" t="s">
        <v>320</v>
      </c>
      <c r="J30" s="34" t="s">
        <v>321</v>
      </c>
      <c r="K30" s="29" t="s">
        <v>322</v>
      </c>
      <c r="L30" s="34">
        <v>29</v>
      </c>
      <c r="M30" s="34" t="s">
        <v>323</v>
      </c>
      <c r="N30" s="34" t="s">
        <v>324</v>
      </c>
    </row>
    <row r="31" spans="1:14" ht="15.75" x14ac:dyDescent="0.25">
      <c r="A31" t="str">
        <f t="shared" si="0"/>
        <v>LAU2-L030-SG-V3</v>
      </c>
      <c r="D31" s="9" t="s">
        <v>72</v>
      </c>
      <c r="E31" s="10" t="s">
        <v>73</v>
      </c>
      <c r="F31" t="str">
        <f t="shared" si="1"/>
        <v>LAU2-L030-S-V3</v>
      </c>
      <c r="G31">
        <v>3</v>
      </c>
      <c r="H31" s="33">
        <v>45846</v>
      </c>
      <c r="I31" s="34" t="s">
        <v>320</v>
      </c>
      <c r="J31" s="34" t="s">
        <v>321</v>
      </c>
      <c r="K31" s="29" t="s">
        <v>322</v>
      </c>
      <c r="L31" s="34">
        <v>30</v>
      </c>
      <c r="M31" s="34" t="s">
        <v>323</v>
      </c>
      <c r="N31" s="34" t="s">
        <v>324</v>
      </c>
    </row>
    <row r="32" spans="1:14" ht="15.75" x14ac:dyDescent="0.25">
      <c r="A32" t="str">
        <f t="shared" si="0"/>
        <v>LAU2-L031-SG-V3</v>
      </c>
      <c r="D32" s="9" t="s">
        <v>74</v>
      </c>
      <c r="E32" s="10" t="s">
        <v>75</v>
      </c>
      <c r="F32" t="str">
        <f t="shared" si="1"/>
        <v>LAU2-L031-S-V3</v>
      </c>
      <c r="G32">
        <v>3</v>
      </c>
      <c r="H32" s="33">
        <v>45846</v>
      </c>
      <c r="I32" s="34" t="s">
        <v>320</v>
      </c>
      <c r="J32" s="34" t="s">
        <v>321</v>
      </c>
      <c r="K32" s="29" t="s">
        <v>322</v>
      </c>
      <c r="L32" s="34">
        <v>31</v>
      </c>
      <c r="M32" s="34" t="s">
        <v>323</v>
      </c>
      <c r="N32" s="34" t="s">
        <v>324</v>
      </c>
    </row>
    <row r="33" spans="1:14" ht="15.75" x14ac:dyDescent="0.25">
      <c r="A33" t="str">
        <f t="shared" si="0"/>
        <v>LAU2-L032-SG-V3</v>
      </c>
      <c r="D33" s="9" t="s">
        <v>76</v>
      </c>
      <c r="E33" s="10" t="s">
        <v>77</v>
      </c>
      <c r="F33" t="str">
        <f t="shared" si="1"/>
        <v>LAU2-L032-S-V3</v>
      </c>
      <c r="G33">
        <v>3</v>
      </c>
      <c r="H33" s="33">
        <v>45846</v>
      </c>
      <c r="I33" s="34" t="s">
        <v>320</v>
      </c>
      <c r="J33" s="34" t="s">
        <v>321</v>
      </c>
      <c r="K33" s="29" t="s">
        <v>322</v>
      </c>
      <c r="L33" s="34">
        <v>32</v>
      </c>
      <c r="M33" s="34" t="s">
        <v>323</v>
      </c>
      <c r="N33" s="34" t="s">
        <v>324</v>
      </c>
    </row>
    <row r="34" spans="1:14" ht="15.75" x14ac:dyDescent="0.25">
      <c r="A34" t="str">
        <f t="shared" si="0"/>
        <v>LAU2-L033-SG-V3</v>
      </c>
      <c r="D34" s="9" t="s">
        <v>78</v>
      </c>
      <c r="E34" s="10" t="s">
        <v>79</v>
      </c>
      <c r="F34" t="str">
        <f t="shared" si="1"/>
        <v>LAU2-L033-S-V3</v>
      </c>
      <c r="G34">
        <v>3</v>
      </c>
      <c r="H34" s="33">
        <v>45846</v>
      </c>
      <c r="I34" s="34" t="s">
        <v>320</v>
      </c>
      <c r="J34" s="34" t="s">
        <v>321</v>
      </c>
      <c r="K34" s="29" t="s">
        <v>322</v>
      </c>
      <c r="L34" s="34">
        <v>33</v>
      </c>
      <c r="M34" s="34" t="s">
        <v>323</v>
      </c>
      <c r="N34" s="34" t="s">
        <v>325</v>
      </c>
    </row>
    <row r="35" spans="1:14" ht="15.75" x14ac:dyDescent="0.25">
      <c r="A35" t="str">
        <f t="shared" si="0"/>
        <v>LAU2-L034-SG-V3</v>
      </c>
      <c r="D35" s="9" t="s">
        <v>80</v>
      </c>
      <c r="E35" s="10" t="s">
        <v>81</v>
      </c>
      <c r="F35" t="str">
        <f t="shared" si="1"/>
        <v>LAU2-L034-S-V3</v>
      </c>
      <c r="G35">
        <v>3</v>
      </c>
      <c r="H35" s="33">
        <v>45846</v>
      </c>
      <c r="I35" s="34" t="s">
        <v>320</v>
      </c>
      <c r="J35" s="34" t="s">
        <v>321</v>
      </c>
      <c r="K35" s="29" t="s">
        <v>322</v>
      </c>
      <c r="L35" s="34">
        <v>34</v>
      </c>
      <c r="M35" s="34" t="s">
        <v>323</v>
      </c>
      <c r="N35" s="34" t="s">
        <v>324</v>
      </c>
    </row>
    <row r="36" spans="1:14" ht="15.75" x14ac:dyDescent="0.25">
      <c r="A36" t="str">
        <f t="shared" si="0"/>
        <v>LAU2-L035-SG-V3</v>
      </c>
      <c r="D36" s="9" t="s">
        <v>82</v>
      </c>
      <c r="E36" s="10" t="s">
        <v>83</v>
      </c>
      <c r="F36" t="str">
        <f t="shared" si="1"/>
        <v>LAU2-L035-S-V3</v>
      </c>
      <c r="G36">
        <v>3</v>
      </c>
      <c r="H36" s="35">
        <v>45847</v>
      </c>
      <c r="I36" s="34" t="s">
        <v>320</v>
      </c>
      <c r="J36" s="34" t="s">
        <v>321</v>
      </c>
      <c r="K36" s="29" t="s">
        <v>322</v>
      </c>
      <c r="L36" s="34">
        <v>35</v>
      </c>
      <c r="M36" s="34" t="s">
        <v>323</v>
      </c>
      <c r="N36" s="34" t="s">
        <v>326</v>
      </c>
    </row>
    <row r="37" spans="1:14" ht="15.75" x14ac:dyDescent="0.25">
      <c r="A37" t="str">
        <f t="shared" si="0"/>
        <v>LAU2-L036-SG-V3</v>
      </c>
      <c r="D37" s="9" t="s">
        <v>84</v>
      </c>
      <c r="E37" s="10" t="s">
        <v>85</v>
      </c>
      <c r="F37" t="str">
        <f t="shared" si="1"/>
        <v>LAU2-L036-S-V3</v>
      </c>
      <c r="G37">
        <v>3</v>
      </c>
      <c r="H37" s="35">
        <v>45847</v>
      </c>
      <c r="I37" s="34" t="s">
        <v>320</v>
      </c>
      <c r="J37" s="34" t="s">
        <v>321</v>
      </c>
      <c r="K37" s="29" t="s">
        <v>322</v>
      </c>
      <c r="L37" s="34">
        <v>36</v>
      </c>
      <c r="M37" s="34" t="s">
        <v>323</v>
      </c>
      <c r="N37" s="34" t="s">
        <v>327</v>
      </c>
    </row>
    <row r="38" spans="1:14" ht="15.75" x14ac:dyDescent="0.25">
      <c r="A38" t="str">
        <f t="shared" si="0"/>
        <v>LAU2-L037-SG-V3</v>
      </c>
      <c r="D38" s="9" t="s">
        <v>86</v>
      </c>
      <c r="E38" s="10" t="s">
        <v>87</v>
      </c>
      <c r="F38" t="str">
        <f t="shared" si="1"/>
        <v>LAU2-L037-S-V3</v>
      </c>
      <c r="G38">
        <v>3</v>
      </c>
      <c r="H38" s="35">
        <v>45847</v>
      </c>
      <c r="I38" s="34" t="s">
        <v>320</v>
      </c>
      <c r="J38" s="34" t="s">
        <v>321</v>
      </c>
      <c r="K38" s="29" t="s">
        <v>322</v>
      </c>
      <c r="L38" s="34">
        <v>37</v>
      </c>
      <c r="M38" s="34" t="s">
        <v>323</v>
      </c>
      <c r="N38" s="34" t="s">
        <v>324</v>
      </c>
    </row>
    <row r="39" spans="1:14" ht="15.75" x14ac:dyDescent="0.25">
      <c r="A39" t="str">
        <f t="shared" si="0"/>
        <v>LAU2-L038-SG-V3</v>
      </c>
      <c r="D39" s="9" t="s">
        <v>88</v>
      </c>
      <c r="E39" s="10" t="s">
        <v>89</v>
      </c>
      <c r="F39" t="str">
        <f t="shared" si="1"/>
        <v>LAU2-L038-S-V3</v>
      </c>
      <c r="G39">
        <v>3</v>
      </c>
      <c r="H39" s="35">
        <v>45848</v>
      </c>
      <c r="I39" s="34" t="s">
        <v>320</v>
      </c>
      <c r="J39" s="34" t="s">
        <v>321</v>
      </c>
      <c r="K39" s="29" t="s">
        <v>322</v>
      </c>
      <c r="L39" s="34">
        <v>38</v>
      </c>
      <c r="M39" s="34" t="s">
        <v>323</v>
      </c>
      <c r="N39" s="34" t="s">
        <v>324</v>
      </c>
    </row>
    <row r="40" spans="1:14" ht="15.75" x14ac:dyDescent="0.25">
      <c r="A40" t="str">
        <f t="shared" si="0"/>
        <v>LAU2-L039-SG-V3</v>
      </c>
      <c r="D40" s="9" t="s">
        <v>90</v>
      </c>
      <c r="E40" s="10" t="s">
        <v>91</v>
      </c>
      <c r="F40" t="str">
        <f t="shared" si="1"/>
        <v>LAU2-L039-S-V3</v>
      </c>
      <c r="G40">
        <v>3</v>
      </c>
      <c r="H40" s="35">
        <v>45849</v>
      </c>
      <c r="I40" s="34" t="s">
        <v>320</v>
      </c>
      <c r="J40" s="34" t="s">
        <v>321</v>
      </c>
      <c r="K40" s="29" t="s">
        <v>322</v>
      </c>
      <c r="L40" s="34">
        <v>39</v>
      </c>
      <c r="M40" s="34" t="s">
        <v>323</v>
      </c>
      <c r="N40" s="34" t="s">
        <v>324</v>
      </c>
    </row>
    <row r="41" spans="1:14" ht="15.75" x14ac:dyDescent="0.25">
      <c r="A41" t="str">
        <f t="shared" si="0"/>
        <v>LAU2-L040-SG-V3</v>
      </c>
      <c r="D41" s="9" t="s">
        <v>92</v>
      </c>
      <c r="E41" s="10" t="s">
        <v>93</v>
      </c>
      <c r="F41" t="str">
        <f t="shared" si="1"/>
        <v>LAU2-L040-S-V3</v>
      </c>
      <c r="G41">
        <v>3</v>
      </c>
      <c r="H41" s="35">
        <v>45849</v>
      </c>
      <c r="I41" s="34" t="s">
        <v>320</v>
      </c>
      <c r="J41" s="34" t="s">
        <v>321</v>
      </c>
      <c r="K41" s="29" t="s">
        <v>322</v>
      </c>
      <c r="L41" s="34">
        <v>40</v>
      </c>
      <c r="M41" s="34" t="s">
        <v>323</v>
      </c>
      <c r="N41" s="34" t="s">
        <v>324</v>
      </c>
    </row>
    <row r="42" spans="1:14" ht="15.75" x14ac:dyDescent="0.25">
      <c r="A42" t="str">
        <f t="shared" si="0"/>
        <v>LAU2-L041-SG-V3</v>
      </c>
      <c r="D42" s="9" t="s">
        <v>94</v>
      </c>
      <c r="E42" s="10" t="s">
        <v>95</v>
      </c>
      <c r="F42" t="str">
        <f t="shared" si="1"/>
        <v>LAU2-L041-S-V3</v>
      </c>
      <c r="G42">
        <v>3</v>
      </c>
      <c r="H42" s="35">
        <v>45853.441666666666</v>
      </c>
      <c r="I42" s="34" t="s">
        <v>320</v>
      </c>
      <c r="J42" s="34" t="s">
        <v>321</v>
      </c>
      <c r="K42" s="29" t="s">
        <v>322</v>
      </c>
      <c r="L42" s="34">
        <v>41</v>
      </c>
      <c r="M42" s="34" t="s">
        <v>323</v>
      </c>
      <c r="N42" s="34" t="s">
        <v>324</v>
      </c>
    </row>
    <row r="43" spans="1:14" ht="15.75" x14ac:dyDescent="0.25">
      <c r="A43" t="str">
        <f t="shared" si="0"/>
        <v>LAU2-L042-SG-V3</v>
      </c>
      <c r="D43" s="9" t="s">
        <v>96</v>
      </c>
      <c r="E43" s="10" t="s">
        <v>97</v>
      </c>
      <c r="F43" t="str">
        <f t="shared" si="1"/>
        <v>LAU2-L042-S-V3</v>
      </c>
      <c r="G43">
        <v>3</v>
      </c>
      <c r="H43" s="35">
        <v>45853.441666666666</v>
      </c>
      <c r="I43" s="34" t="s">
        <v>320</v>
      </c>
      <c r="J43" s="34" t="s">
        <v>321</v>
      </c>
      <c r="K43" s="29" t="s">
        <v>322</v>
      </c>
      <c r="L43" s="34">
        <v>42</v>
      </c>
      <c r="M43" s="34" t="s">
        <v>323</v>
      </c>
      <c r="N43" s="34" t="s">
        <v>324</v>
      </c>
    </row>
    <row r="44" spans="1:14" ht="15.75" x14ac:dyDescent="0.25">
      <c r="A44" t="str">
        <f t="shared" si="0"/>
        <v>LAU2-L043-SG-V3</v>
      </c>
      <c r="D44" s="9" t="s">
        <v>98</v>
      </c>
      <c r="E44" s="10" t="s">
        <v>99</v>
      </c>
      <c r="F44" t="str">
        <f t="shared" si="1"/>
        <v>LAU2-L043-S-V3</v>
      </c>
      <c r="G44">
        <v>3</v>
      </c>
      <c r="H44" s="35">
        <v>45853.441666666666</v>
      </c>
      <c r="I44" s="34" t="s">
        <v>320</v>
      </c>
      <c r="J44" s="34" t="s">
        <v>321</v>
      </c>
      <c r="K44" s="29" t="s">
        <v>322</v>
      </c>
      <c r="L44" s="34">
        <v>43</v>
      </c>
      <c r="M44" s="34" t="s">
        <v>323</v>
      </c>
      <c r="N44" s="34" t="s">
        <v>324</v>
      </c>
    </row>
    <row r="45" spans="1:14" ht="15.75" x14ac:dyDescent="0.25">
      <c r="A45" t="str">
        <f t="shared" si="0"/>
        <v>LAU2-L044-SG-V3</v>
      </c>
      <c r="D45" s="9" t="s">
        <v>100</v>
      </c>
      <c r="E45" s="10" t="s">
        <v>101</v>
      </c>
      <c r="F45" t="str">
        <f t="shared" si="1"/>
        <v>LAU2-L044-S-V3</v>
      </c>
      <c r="G45">
        <v>3</v>
      </c>
      <c r="H45" s="35">
        <v>45853.441666666666</v>
      </c>
      <c r="I45" s="34" t="s">
        <v>320</v>
      </c>
      <c r="J45" s="34" t="s">
        <v>321</v>
      </c>
      <c r="K45" s="29" t="s">
        <v>322</v>
      </c>
      <c r="L45" s="34">
        <v>44</v>
      </c>
      <c r="M45" s="34" t="s">
        <v>323</v>
      </c>
      <c r="N45" s="34" t="s">
        <v>324</v>
      </c>
    </row>
    <row r="46" spans="1:14" ht="15.75" x14ac:dyDescent="0.25">
      <c r="A46" t="str">
        <f t="shared" si="0"/>
        <v>LAU2-L045-SG-V3</v>
      </c>
      <c r="D46" s="9" t="s">
        <v>102</v>
      </c>
      <c r="E46" s="10" t="s">
        <v>103</v>
      </c>
      <c r="F46" t="str">
        <f t="shared" si="1"/>
        <v>LAU2-L045-S-V3</v>
      </c>
      <c r="G46">
        <v>3</v>
      </c>
      <c r="H46" s="35">
        <v>45853.441666666666</v>
      </c>
      <c r="I46" s="34" t="s">
        <v>320</v>
      </c>
      <c r="J46" s="34" t="s">
        <v>321</v>
      </c>
      <c r="K46" s="29" t="s">
        <v>322</v>
      </c>
      <c r="L46" s="34">
        <v>45</v>
      </c>
      <c r="M46" s="34" t="s">
        <v>323</v>
      </c>
      <c r="N46" s="34" t="s">
        <v>324</v>
      </c>
    </row>
    <row r="47" spans="1:14" ht="15.75" x14ac:dyDescent="0.25">
      <c r="A47" t="str">
        <f t="shared" si="0"/>
        <v>LAU2-L046-SG-V3</v>
      </c>
      <c r="D47" s="9" t="s">
        <v>104</v>
      </c>
      <c r="E47" s="10" t="s">
        <v>105</v>
      </c>
      <c r="F47" t="str">
        <f t="shared" si="1"/>
        <v>LAU2-L046-S-V3</v>
      </c>
      <c r="G47">
        <v>3</v>
      </c>
      <c r="H47" s="35">
        <v>45853.441666666666</v>
      </c>
      <c r="I47" s="34" t="s">
        <v>320</v>
      </c>
      <c r="J47" s="34" t="s">
        <v>321</v>
      </c>
      <c r="K47" s="29" t="s">
        <v>322</v>
      </c>
      <c r="L47" s="34">
        <v>46</v>
      </c>
      <c r="M47" s="34" t="s">
        <v>323</v>
      </c>
      <c r="N47" s="34" t="s">
        <v>324</v>
      </c>
    </row>
    <row r="48" spans="1:14" ht="15.75" x14ac:dyDescent="0.25">
      <c r="A48" t="str">
        <f t="shared" si="0"/>
        <v>LAU2-L047-SG-V3</v>
      </c>
      <c r="D48" s="9" t="s">
        <v>106</v>
      </c>
      <c r="E48" s="10" t="s">
        <v>107</v>
      </c>
      <c r="F48" t="str">
        <f t="shared" si="1"/>
        <v>LAU2-L047-S-V3</v>
      </c>
      <c r="G48">
        <v>3</v>
      </c>
      <c r="H48" s="35">
        <v>45853.441666666666</v>
      </c>
      <c r="I48" s="34" t="s">
        <v>320</v>
      </c>
      <c r="J48" s="34" t="s">
        <v>321</v>
      </c>
      <c r="K48" s="29" t="s">
        <v>322</v>
      </c>
      <c r="L48" s="34">
        <v>47</v>
      </c>
      <c r="M48" s="34" t="s">
        <v>323</v>
      </c>
      <c r="N48" s="34" t="s">
        <v>324</v>
      </c>
    </row>
    <row r="49" spans="1:14" ht="15.75" x14ac:dyDescent="0.25">
      <c r="A49" t="str">
        <f t="shared" si="0"/>
        <v>LAU2-L048-SG-V3</v>
      </c>
      <c r="D49" s="9" t="s">
        <v>108</v>
      </c>
      <c r="E49" s="10" t="s">
        <v>109</v>
      </c>
      <c r="F49" t="str">
        <f t="shared" si="1"/>
        <v>LAU2-L048-S-V3</v>
      </c>
      <c r="G49">
        <v>3</v>
      </c>
      <c r="H49" s="35">
        <v>45853.441666666666</v>
      </c>
      <c r="I49" s="34" t="s">
        <v>320</v>
      </c>
      <c r="J49" s="34" t="s">
        <v>321</v>
      </c>
      <c r="K49" s="29" t="s">
        <v>322</v>
      </c>
      <c r="L49" s="34">
        <v>48</v>
      </c>
      <c r="M49" s="34" t="s">
        <v>323</v>
      </c>
      <c r="N49" s="34" t="s">
        <v>324</v>
      </c>
    </row>
    <row r="50" spans="1:14" ht="15.75" x14ac:dyDescent="0.25">
      <c r="A50" t="str">
        <f t="shared" si="0"/>
        <v>LAU2-L049-SG-V3</v>
      </c>
      <c r="D50" s="9" t="s">
        <v>110</v>
      </c>
      <c r="E50" s="10" t="s">
        <v>111</v>
      </c>
      <c r="F50" t="str">
        <f t="shared" si="1"/>
        <v>LAU2-L049-S-V3</v>
      </c>
      <c r="G50">
        <v>3</v>
      </c>
      <c r="H50" s="35">
        <v>45853.441666666666</v>
      </c>
      <c r="I50" s="34" t="s">
        <v>320</v>
      </c>
      <c r="J50" s="34" t="s">
        <v>321</v>
      </c>
      <c r="K50" s="29" t="s">
        <v>322</v>
      </c>
      <c r="L50" s="34">
        <v>49</v>
      </c>
      <c r="M50" s="34" t="s">
        <v>323</v>
      </c>
      <c r="N50" s="34" t="s">
        <v>324</v>
      </c>
    </row>
    <row r="51" spans="1:14" ht="15.75" x14ac:dyDescent="0.25">
      <c r="A51" t="str">
        <f t="shared" si="0"/>
        <v>LAU2-L050-SG-V3</v>
      </c>
      <c r="D51" s="9" t="s">
        <v>112</v>
      </c>
      <c r="E51" s="10" t="s">
        <v>113</v>
      </c>
      <c r="F51" t="str">
        <f t="shared" si="1"/>
        <v>LAU2-L050-S-V3</v>
      </c>
      <c r="G51">
        <v>3</v>
      </c>
      <c r="H51" s="35">
        <v>45853.441666666666</v>
      </c>
      <c r="I51" s="34" t="s">
        <v>320</v>
      </c>
      <c r="J51" s="34" t="s">
        <v>321</v>
      </c>
      <c r="K51" s="29" t="s">
        <v>322</v>
      </c>
      <c r="L51" s="34">
        <v>50</v>
      </c>
      <c r="M51" s="34" t="s">
        <v>323</v>
      </c>
      <c r="N51" s="34" t="s">
        <v>324</v>
      </c>
    </row>
    <row r="52" spans="1:14" ht="15.75" x14ac:dyDescent="0.25">
      <c r="A52" t="str">
        <f t="shared" si="0"/>
        <v>LAU2-L051-SG-V3</v>
      </c>
      <c r="D52" s="9" t="s">
        <v>114</v>
      </c>
      <c r="E52" s="10" t="s">
        <v>115</v>
      </c>
      <c r="F52" t="str">
        <f t="shared" si="1"/>
        <v>LAU2-L051-S-V3</v>
      </c>
      <c r="G52">
        <v>3</v>
      </c>
      <c r="H52" s="35">
        <v>45854.429166666669</v>
      </c>
      <c r="I52" s="34" t="s">
        <v>320</v>
      </c>
      <c r="J52" s="34" t="s">
        <v>321</v>
      </c>
      <c r="K52" s="29" t="s">
        <v>322</v>
      </c>
      <c r="L52" s="34">
        <v>51</v>
      </c>
      <c r="M52" s="34" t="s">
        <v>323</v>
      </c>
      <c r="N52" s="34" t="s">
        <v>324</v>
      </c>
    </row>
    <row r="53" spans="1:14" ht="15.75" x14ac:dyDescent="0.25">
      <c r="A53" t="str">
        <f t="shared" si="0"/>
        <v>LAU2-L052-SG-V3</v>
      </c>
      <c r="D53" s="9" t="s">
        <v>116</v>
      </c>
      <c r="E53" s="10" t="s">
        <v>117</v>
      </c>
      <c r="F53" t="str">
        <f t="shared" si="1"/>
        <v>LAU2-L052-S-V3</v>
      </c>
      <c r="G53">
        <v>3</v>
      </c>
      <c r="H53" s="35">
        <v>45854.430555555555</v>
      </c>
      <c r="I53" s="34" t="s">
        <v>320</v>
      </c>
      <c r="J53" s="34" t="s">
        <v>321</v>
      </c>
      <c r="K53" s="29" t="s">
        <v>322</v>
      </c>
      <c r="L53" s="34">
        <v>52</v>
      </c>
      <c r="M53" s="34" t="s">
        <v>323</v>
      </c>
      <c r="N53" s="34" t="s">
        <v>324</v>
      </c>
    </row>
    <row r="54" spans="1:14" ht="15.75" x14ac:dyDescent="0.25">
      <c r="A54" t="str">
        <f t="shared" si="0"/>
        <v>LAU2-L053-SG-V3</v>
      </c>
      <c r="D54" s="9" t="s">
        <v>118</v>
      </c>
      <c r="E54" s="10" t="s">
        <v>119</v>
      </c>
      <c r="F54" t="str">
        <f t="shared" si="1"/>
        <v>LAU2-L053-S-V3</v>
      </c>
      <c r="G54">
        <v>3</v>
      </c>
      <c r="H54" s="35">
        <v>45854.431250000001</v>
      </c>
      <c r="I54" s="34" t="s">
        <v>320</v>
      </c>
      <c r="J54" s="34" t="s">
        <v>321</v>
      </c>
      <c r="K54" s="29" t="s">
        <v>322</v>
      </c>
      <c r="L54" s="34">
        <v>53</v>
      </c>
      <c r="M54" s="34" t="s">
        <v>323</v>
      </c>
      <c r="N54" s="34" t="s">
        <v>324</v>
      </c>
    </row>
    <row r="55" spans="1:14" ht="15.75" x14ac:dyDescent="0.25">
      <c r="A55" t="str">
        <f t="shared" si="0"/>
        <v>LAU2-L054-SG-V3</v>
      </c>
      <c r="D55" s="9" t="s">
        <v>120</v>
      </c>
      <c r="E55" s="10" t="s">
        <v>121</v>
      </c>
      <c r="F55" t="str">
        <f t="shared" si="1"/>
        <v>LAU2-L054-S-V3</v>
      </c>
      <c r="G55">
        <v>3</v>
      </c>
      <c r="H55" s="35">
        <v>45854.459722222222</v>
      </c>
      <c r="I55" s="34" t="s">
        <v>320</v>
      </c>
      <c r="J55" s="34" t="s">
        <v>321</v>
      </c>
      <c r="K55" s="29" t="s">
        <v>322</v>
      </c>
      <c r="L55" s="34">
        <v>54</v>
      </c>
      <c r="M55" s="34" t="s">
        <v>323</v>
      </c>
      <c r="N55" s="34" t="s">
        <v>324</v>
      </c>
    </row>
    <row r="56" spans="1:14" ht="15.75" x14ac:dyDescent="0.25">
      <c r="A56" t="str">
        <f t="shared" si="0"/>
        <v>LAU2-L055-SG-V3</v>
      </c>
      <c r="D56" s="9" t="s">
        <v>122</v>
      </c>
      <c r="E56" s="10" t="s">
        <v>123</v>
      </c>
      <c r="F56" t="str">
        <f t="shared" si="1"/>
        <v>LAU2-L055-S-V3</v>
      </c>
      <c r="G56">
        <v>3</v>
      </c>
      <c r="H56" s="35">
        <v>45856.588888888888</v>
      </c>
      <c r="I56" s="34" t="s">
        <v>320</v>
      </c>
      <c r="J56" s="34" t="s">
        <v>321</v>
      </c>
      <c r="K56" s="29" t="s">
        <v>322</v>
      </c>
      <c r="L56" s="34">
        <v>55</v>
      </c>
      <c r="M56" s="34" t="s">
        <v>323</v>
      </c>
      <c r="N56" s="34" t="s">
        <v>324</v>
      </c>
    </row>
    <row r="57" spans="1:14" ht="15.75" x14ac:dyDescent="0.25">
      <c r="A57" t="str">
        <f t="shared" si="0"/>
        <v>LAU2-L056-SG-V3</v>
      </c>
      <c r="D57" s="9" t="s">
        <v>124</v>
      </c>
      <c r="E57" s="10" t="s">
        <v>125</v>
      </c>
      <c r="F57" t="str">
        <f t="shared" si="1"/>
        <v>LAU2-L056-S-V3</v>
      </c>
      <c r="G57">
        <v>3</v>
      </c>
      <c r="H57" s="35">
        <v>45856.589583333334</v>
      </c>
      <c r="I57" s="34" t="s">
        <v>320</v>
      </c>
      <c r="J57" s="34" t="s">
        <v>321</v>
      </c>
      <c r="K57" s="34" t="s">
        <v>322</v>
      </c>
      <c r="L57" s="34">
        <v>56</v>
      </c>
      <c r="M57" s="34" t="s">
        <v>323</v>
      </c>
      <c r="N57" s="34" t="s">
        <v>324</v>
      </c>
    </row>
    <row r="58" spans="1:14" ht="15.75" x14ac:dyDescent="0.25">
      <c r="A58" t="str">
        <f t="shared" si="0"/>
        <v>LAU2-L057-SG-V3</v>
      </c>
      <c r="D58" s="8" t="s">
        <v>126</v>
      </c>
      <c r="E58" s="3" t="s">
        <v>127</v>
      </c>
      <c r="F58" t="str">
        <f t="shared" si="1"/>
        <v>LAU2-L057-S-V3</v>
      </c>
      <c r="G58">
        <v>3</v>
      </c>
      <c r="H58" s="36">
        <v>45860.573611111111</v>
      </c>
      <c r="I58" s="29" t="s">
        <v>320</v>
      </c>
      <c r="J58" s="29" t="s">
        <v>321</v>
      </c>
      <c r="K58" s="29" t="s">
        <v>322</v>
      </c>
      <c r="L58" s="29">
        <v>57</v>
      </c>
      <c r="M58" s="29" t="s">
        <v>323</v>
      </c>
      <c r="N58" s="29" t="s">
        <v>324</v>
      </c>
    </row>
    <row r="59" spans="1:14" ht="15.75" x14ac:dyDescent="0.25">
      <c r="A59" t="str">
        <f t="shared" si="0"/>
        <v>LAU2-L058-SG-V3</v>
      </c>
      <c r="D59" s="8" t="s">
        <v>128</v>
      </c>
      <c r="E59" s="3" t="s">
        <v>129</v>
      </c>
      <c r="F59" t="str">
        <f t="shared" si="1"/>
        <v>LAU2-L058-S-V3</v>
      </c>
      <c r="G59">
        <v>3</v>
      </c>
      <c r="H59" s="36">
        <v>45860.573611111111</v>
      </c>
      <c r="I59" s="29" t="s">
        <v>320</v>
      </c>
      <c r="J59" s="29" t="s">
        <v>321</v>
      </c>
      <c r="K59" s="29" t="s">
        <v>322</v>
      </c>
      <c r="L59" s="29">
        <v>58</v>
      </c>
      <c r="M59" s="29" t="s">
        <v>323</v>
      </c>
      <c r="N59" s="29" t="s">
        <v>324</v>
      </c>
    </row>
    <row r="60" spans="1:14" ht="15.75" x14ac:dyDescent="0.25">
      <c r="A60" t="str">
        <f t="shared" si="0"/>
        <v>LAU2-L059-SG-V3</v>
      </c>
      <c r="D60" s="8" t="s">
        <v>130</v>
      </c>
      <c r="E60" s="3" t="s">
        <v>131</v>
      </c>
      <c r="F60" t="str">
        <f t="shared" si="1"/>
        <v>LAU2-L059-S-V3</v>
      </c>
      <c r="G60">
        <v>3</v>
      </c>
      <c r="H60" s="36">
        <v>45860.573611111111</v>
      </c>
      <c r="I60" s="29" t="s">
        <v>320</v>
      </c>
      <c r="J60" s="29" t="s">
        <v>321</v>
      </c>
      <c r="K60" s="29" t="s">
        <v>322</v>
      </c>
      <c r="L60" s="29">
        <v>59</v>
      </c>
      <c r="M60" s="29" t="s">
        <v>323</v>
      </c>
      <c r="N60" s="29" t="s">
        <v>324</v>
      </c>
    </row>
    <row r="61" spans="1:14" ht="15.75" x14ac:dyDescent="0.25">
      <c r="A61" t="str">
        <f t="shared" si="0"/>
        <v>LAU2-L060-SG-V3</v>
      </c>
      <c r="D61" s="8" t="s">
        <v>132</v>
      </c>
      <c r="E61" s="3" t="s">
        <v>133</v>
      </c>
      <c r="F61" t="str">
        <f t="shared" si="1"/>
        <v>LAU2-L060-S-V3</v>
      </c>
      <c r="G61">
        <v>3</v>
      </c>
      <c r="H61" s="36">
        <v>45860.573611111111</v>
      </c>
      <c r="I61" s="29" t="s">
        <v>320</v>
      </c>
      <c r="J61" s="29" t="s">
        <v>321</v>
      </c>
      <c r="K61" s="29" t="s">
        <v>322</v>
      </c>
      <c r="L61" s="29">
        <v>60</v>
      </c>
      <c r="M61" s="29" t="s">
        <v>323</v>
      </c>
      <c r="N61" s="29" t="s">
        <v>324</v>
      </c>
    </row>
    <row r="62" spans="1:14" ht="15.75" x14ac:dyDescent="0.25">
      <c r="A62" t="str">
        <f t="shared" si="0"/>
        <v>LAU2-L061-SG-V3</v>
      </c>
      <c r="D62" s="8" t="s">
        <v>134</v>
      </c>
      <c r="E62" s="3" t="s">
        <v>135</v>
      </c>
      <c r="F62" t="str">
        <f t="shared" si="1"/>
        <v>LAU2-L061-S-V3</v>
      </c>
      <c r="G62">
        <v>3</v>
      </c>
      <c r="H62" s="36">
        <v>45860.573611111111</v>
      </c>
      <c r="I62" s="29" t="s">
        <v>320</v>
      </c>
      <c r="J62" s="29" t="s">
        <v>321</v>
      </c>
      <c r="K62" s="29" t="s">
        <v>322</v>
      </c>
      <c r="L62" s="29">
        <v>61</v>
      </c>
      <c r="M62" s="29" t="s">
        <v>323</v>
      </c>
      <c r="N62" s="29" t="s">
        <v>324</v>
      </c>
    </row>
    <row r="63" spans="1:14" ht="15.75" x14ac:dyDescent="0.25">
      <c r="A63" t="str">
        <f t="shared" si="0"/>
        <v>LAU2-L062-SG-V3</v>
      </c>
      <c r="D63" s="8" t="s">
        <v>136</v>
      </c>
      <c r="E63" s="3" t="s">
        <v>137</v>
      </c>
      <c r="F63" t="str">
        <f t="shared" si="1"/>
        <v>LAU2-L062-S-V3</v>
      </c>
      <c r="G63">
        <v>3</v>
      </c>
      <c r="H63" s="36">
        <v>45860.573611111111</v>
      </c>
      <c r="I63" s="29" t="s">
        <v>320</v>
      </c>
      <c r="J63" s="29" t="s">
        <v>321</v>
      </c>
      <c r="K63" s="29" t="s">
        <v>322</v>
      </c>
      <c r="L63" s="29">
        <v>62</v>
      </c>
      <c r="M63" s="29" t="s">
        <v>323</v>
      </c>
      <c r="N63" s="29" t="s">
        <v>324</v>
      </c>
    </row>
    <row r="64" spans="1:14" ht="15.75" x14ac:dyDescent="0.25">
      <c r="A64" t="str">
        <f t="shared" si="0"/>
        <v>LAU2-L063-SG-V3</v>
      </c>
      <c r="D64" s="8" t="s">
        <v>138</v>
      </c>
      <c r="E64" s="3" t="s">
        <v>139</v>
      </c>
      <c r="F64" t="str">
        <f t="shared" si="1"/>
        <v>LAU2-L063-S-V3</v>
      </c>
      <c r="G64">
        <v>3</v>
      </c>
      <c r="H64" s="36">
        <v>45860.573611111111</v>
      </c>
      <c r="I64" s="29" t="s">
        <v>320</v>
      </c>
      <c r="J64" s="29" t="s">
        <v>321</v>
      </c>
      <c r="K64" s="29" t="s">
        <v>322</v>
      </c>
      <c r="L64" s="29">
        <v>63</v>
      </c>
      <c r="M64" s="29" t="s">
        <v>323</v>
      </c>
      <c r="N64" s="29" t="s">
        <v>324</v>
      </c>
    </row>
    <row r="65" spans="1:14" ht="15.75" x14ac:dyDescent="0.25">
      <c r="A65" t="str">
        <f t="shared" si="0"/>
        <v>LAU2-L064-SG-V3</v>
      </c>
      <c r="D65" s="8" t="s">
        <v>140</v>
      </c>
      <c r="E65" s="3" t="s">
        <v>141</v>
      </c>
      <c r="F65" t="str">
        <f t="shared" si="1"/>
        <v>LAU2-L064-S-V3</v>
      </c>
      <c r="G65">
        <v>3</v>
      </c>
      <c r="H65" s="36">
        <v>45860.573611111111</v>
      </c>
      <c r="I65" s="29" t="s">
        <v>320</v>
      </c>
      <c r="J65" s="29" t="s">
        <v>321</v>
      </c>
      <c r="K65" s="29" t="s">
        <v>322</v>
      </c>
      <c r="L65" s="29">
        <v>64</v>
      </c>
      <c r="M65" s="29" t="s">
        <v>323</v>
      </c>
      <c r="N65" s="29" t="s">
        <v>324</v>
      </c>
    </row>
    <row r="66" spans="1:14" ht="15.75" x14ac:dyDescent="0.25">
      <c r="A66" t="str">
        <f t="shared" si="0"/>
        <v>LAU2-L065-SG-V3</v>
      </c>
      <c r="D66" s="8" t="s">
        <v>142</v>
      </c>
      <c r="E66" s="3" t="s">
        <v>143</v>
      </c>
      <c r="F66" t="str">
        <f t="shared" si="1"/>
        <v>LAU2-L065-S-V3</v>
      </c>
      <c r="G66">
        <v>3</v>
      </c>
      <c r="H66" s="36">
        <v>45860.573611111111</v>
      </c>
      <c r="I66" s="29" t="s">
        <v>320</v>
      </c>
      <c r="J66" s="29" t="s">
        <v>321</v>
      </c>
      <c r="K66" s="29" t="s">
        <v>322</v>
      </c>
      <c r="L66" s="29">
        <v>65</v>
      </c>
      <c r="M66" s="29" t="s">
        <v>323</v>
      </c>
      <c r="N66" s="29" t="s">
        <v>324</v>
      </c>
    </row>
    <row r="67" spans="1:14" ht="15.75" x14ac:dyDescent="0.25">
      <c r="A67" t="str">
        <f t="shared" ref="A67:A130" si="2">SUBSTITUTE(E67,"-G-","-SG-")</f>
        <v>LAU2-L066-SG-V3</v>
      </c>
      <c r="D67" s="8" t="s">
        <v>144</v>
      </c>
      <c r="E67" s="3" t="s">
        <v>145</v>
      </c>
      <c r="F67" t="str">
        <f t="shared" ref="F67:F130" si="3">SUBSTITUTE(E67,"-G-","-S-")</f>
        <v>LAU2-L066-S-V3</v>
      </c>
      <c r="G67">
        <v>3</v>
      </c>
      <c r="H67" s="37">
        <v>45860.573611111111</v>
      </c>
      <c r="I67" s="29" t="s">
        <v>320</v>
      </c>
      <c r="J67" s="29" t="s">
        <v>321</v>
      </c>
      <c r="K67" s="29" t="s">
        <v>322</v>
      </c>
      <c r="L67" s="29">
        <v>66</v>
      </c>
      <c r="M67" s="29" t="s">
        <v>323</v>
      </c>
      <c r="N67" s="29" t="s">
        <v>324</v>
      </c>
    </row>
    <row r="68" spans="1:14" ht="15.75" x14ac:dyDescent="0.25">
      <c r="A68" t="str">
        <f t="shared" si="2"/>
        <v>LAU2-L068-SG-V3</v>
      </c>
      <c r="D68" s="8" t="s">
        <v>146</v>
      </c>
      <c r="E68" s="3" t="s">
        <v>147</v>
      </c>
      <c r="F68" t="str">
        <f t="shared" si="3"/>
        <v>LAU2-L068-S-V3</v>
      </c>
      <c r="G68">
        <v>3</v>
      </c>
      <c r="H68" s="37">
        <v>45863</v>
      </c>
      <c r="I68" s="29" t="s">
        <v>320</v>
      </c>
      <c r="J68" s="29" t="s">
        <v>321</v>
      </c>
      <c r="K68" s="29" t="s">
        <v>322</v>
      </c>
      <c r="L68" s="29">
        <v>67</v>
      </c>
      <c r="M68" s="29" t="s">
        <v>323</v>
      </c>
      <c r="N68" s="29" t="s">
        <v>324</v>
      </c>
    </row>
    <row r="69" spans="1:14" ht="15.75" x14ac:dyDescent="0.25">
      <c r="A69" t="str">
        <f t="shared" si="2"/>
        <v>LAU2-L069-SG-V3</v>
      </c>
      <c r="D69" s="8" t="s">
        <v>148</v>
      </c>
      <c r="E69" s="3" t="s">
        <v>149</v>
      </c>
      <c r="F69" t="str">
        <f t="shared" si="3"/>
        <v>LAU2-L069-S-V3</v>
      </c>
      <c r="G69">
        <v>3</v>
      </c>
      <c r="H69" s="37">
        <v>45863</v>
      </c>
      <c r="I69" s="29" t="s">
        <v>320</v>
      </c>
      <c r="J69" s="29" t="s">
        <v>321</v>
      </c>
      <c r="K69" s="29" t="s">
        <v>322</v>
      </c>
      <c r="L69" s="29">
        <v>68</v>
      </c>
      <c r="M69" s="29" t="s">
        <v>323</v>
      </c>
      <c r="N69" s="29" t="s">
        <v>324</v>
      </c>
    </row>
    <row r="70" spans="1:14" ht="15.75" x14ac:dyDescent="0.25">
      <c r="A70" t="str">
        <f t="shared" si="2"/>
        <v>LAU2-L070-SG-V3</v>
      </c>
      <c r="D70" s="8" t="s">
        <v>150</v>
      </c>
      <c r="E70" s="3" t="s">
        <v>151</v>
      </c>
      <c r="F70" t="str">
        <f t="shared" si="3"/>
        <v>LAU2-L070-S-V3</v>
      </c>
      <c r="G70">
        <v>3</v>
      </c>
      <c r="H70" s="37">
        <v>45864.359722222223</v>
      </c>
      <c r="I70" s="29" t="s">
        <v>320</v>
      </c>
      <c r="J70" s="29" t="s">
        <v>321</v>
      </c>
      <c r="K70" s="29" t="s">
        <v>322</v>
      </c>
      <c r="L70" s="29">
        <v>69</v>
      </c>
      <c r="M70" s="29" t="s">
        <v>323</v>
      </c>
      <c r="N70" s="29" t="s">
        <v>328</v>
      </c>
    </row>
    <row r="71" spans="1:14" ht="15.75" x14ac:dyDescent="0.25">
      <c r="A71" t="str">
        <f t="shared" si="2"/>
        <v>LAU2-L071-SG-V3</v>
      </c>
      <c r="D71" s="8" t="s">
        <v>152</v>
      </c>
      <c r="E71" s="3" t="s">
        <v>153</v>
      </c>
      <c r="F71" t="str">
        <f t="shared" si="3"/>
        <v>LAU2-L071-S-V3</v>
      </c>
      <c r="G71">
        <v>3</v>
      </c>
      <c r="H71" s="37">
        <v>45864.359722222223</v>
      </c>
      <c r="I71" s="29" t="s">
        <v>320</v>
      </c>
      <c r="J71" s="29" t="s">
        <v>321</v>
      </c>
      <c r="K71" s="29" t="s">
        <v>322</v>
      </c>
      <c r="L71" s="29">
        <v>70</v>
      </c>
      <c r="M71" s="29" t="s">
        <v>323</v>
      </c>
      <c r="N71" s="29" t="s">
        <v>324</v>
      </c>
    </row>
    <row r="72" spans="1:14" ht="15.75" x14ac:dyDescent="0.25">
      <c r="A72" t="str">
        <f t="shared" si="2"/>
        <v>LAU2-L072-SG-V3</v>
      </c>
      <c r="D72" s="8" t="s">
        <v>154</v>
      </c>
      <c r="E72" s="3" t="s">
        <v>155</v>
      </c>
      <c r="F72" t="str">
        <f t="shared" si="3"/>
        <v>LAU2-L072-S-V3</v>
      </c>
      <c r="G72">
        <v>3</v>
      </c>
      <c r="H72" s="37">
        <v>45864.359722222223</v>
      </c>
      <c r="I72" s="29" t="s">
        <v>320</v>
      </c>
      <c r="J72" s="29" t="s">
        <v>321</v>
      </c>
      <c r="K72" s="29" t="s">
        <v>322</v>
      </c>
      <c r="L72" s="29">
        <v>71</v>
      </c>
      <c r="M72" s="29" t="s">
        <v>323</v>
      </c>
      <c r="N72" s="29" t="s">
        <v>324</v>
      </c>
    </row>
    <row r="73" spans="1:14" ht="15.75" x14ac:dyDescent="0.25">
      <c r="A73" t="str">
        <f t="shared" si="2"/>
        <v>LAU2-L073-SG-V3</v>
      </c>
      <c r="D73" s="8" t="s">
        <v>156</v>
      </c>
      <c r="E73" s="3" t="s">
        <v>157</v>
      </c>
      <c r="F73" t="str">
        <f t="shared" si="3"/>
        <v>LAU2-L073-S-V3</v>
      </c>
      <c r="G73">
        <v>3</v>
      </c>
      <c r="H73" s="37">
        <v>45864.359722222223</v>
      </c>
      <c r="I73" s="29" t="s">
        <v>320</v>
      </c>
      <c r="J73" s="29" t="s">
        <v>321</v>
      </c>
      <c r="K73" s="29" t="s">
        <v>322</v>
      </c>
      <c r="L73" s="29">
        <v>72</v>
      </c>
      <c r="M73" s="29" t="s">
        <v>323</v>
      </c>
      <c r="N73" s="29" t="s">
        <v>324</v>
      </c>
    </row>
    <row r="74" spans="1:14" ht="15.75" x14ac:dyDescent="0.25">
      <c r="A74" t="str">
        <f t="shared" si="2"/>
        <v>LAU2-L074-SG-V3</v>
      </c>
      <c r="D74" s="8" t="s">
        <v>158</v>
      </c>
      <c r="E74" s="3" t="s">
        <v>159</v>
      </c>
      <c r="F74" t="str">
        <f t="shared" si="3"/>
        <v>LAU2-L074-S-V3</v>
      </c>
      <c r="G74">
        <v>3</v>
      </c>
      <c r="H74" s="37">
        <v>45868.34652777778</v>
      </c>
      <c r="I74" s="29" t="s">
        <v>320</v>
      </c>
      <c r="J74" s="29" t="s">
        <v>321</v>
      </c>
      <c r="K74" s="29" t="s">
        <v>322</v>
      </c>
      <c r="L74" s="29">
        <v>73</v>
      </c>
      <c r="M74" s="29" t="s">
        <v>323</v>
      </c>
      <c r="N74" s="29" t="s">
        <v>324</v>
      </c>
    </row>
    <row r="75" spans="1:14" ht="15.75" x14ac:dyDescent="0.25">
      <c r="A75" t="str">
        <f t="shared" si="2"/>
        <v>LAU2-L075-SG-V3</v>
      </c>
      <c r="D75" s="8" t="s">
        <v>160</v>
      </c>
      <c r="E75" s="3" t="s">
        <v>161</v>
      </c>
      <c r="F75" t="str">
        <f t="shared" si="3"/>
        <v>LAU2-L075-S-V3</v>
      </c>
      <c r="G75">
        <v>3</v>
      </c>
      <c r="H75" s="37">
        <v>45868.34652777778</v>
      </c>
      <c r="I75" s="29" t="s">
        <v>320</v>
      </c>
      <c r="J75" s="29" t="s">
        <v>321</v>
      </c>
      <c r="K75" s="29" t="s">
        <v>322</v>
      </c>
      <c r="L75" s="29">
        <v>74</v>
      </c>
      <c r="M75" s="29" t="s">
        <v>323</v>
      </c>
      <c r="N75" s="29" t="s">
        <v>324</v>
      </c>
    </row>
    <row r="76" spans="1:14" ht="15.75" x14ac:dyDescent="0.25">
      <c r="A76" t="str">
        <f t="shared" si="2"/>
        <v>LAU2-L076-SG-V3</v>
      </c>
      <c r="D76" s="8" t="s">
        <v>162</v>
      </c>
      <c r="E76" s="3" t="s">
        <v>163</v>
      </c>
      <c r="F76" t="str">
        <f t="shared" si="3"/>
        <v>LAU2-L076-S-V3</v>
      </c>
      <c r="G76">
        <v>3</v>
      </c>
      <c r="H76" s="37">
        <v>45868.34652777778</v>
      </c>
      <c r="I76" s="29" t="s">
        <v>320</v>
      </c>
      <c r="J76" s="29" t="s">
        <v>321</v>
      </c>
      <c r="K76" s="29" t="s">
        <v>322</v>
      </c>
      <c r="L76" s="29">
        <v>75</v>
      </c>
      <c r="M76" s="29" t="s">
        <v>323</v>
      </c>
      <c r="N76" s="29" t="s">
        <v>324</v>
      </c>
    </row>
    <row r="77" spans="1:14" ht="15.75" x14ac:dyDescent="0.25">
      <c r="A77" t="str">
        <f t="shared" si="2"/>
        <v>LAU2-L077-SG-V3</v>
      </c>
      <c r="D77" s="8" t="s">
        <v>164</v>
      </c>
      <c r="E77" s="3" t="s">
        <v>165</v>
      </c>
      <c r="F77" t="str">
        <f t="shared" si="3"/>
        <v>LAU2-L077-S-V3</v>
      </c>
      <c r="G77">
        <v>3</v>
      </c>
      <c r="H77" s="37">
        <v>45868.34652777778</v>
      </c>
      <c r="I77" s="29" t="s">
        <v>320</v>
      </c>
      <c r="J77" s="29" t="s">
        <v>321</v>
      </c>
      <c r="K77" s="29" t="s">
        <v>322</v>
      </c>
      <c r="L77" s="29">
        <v>76</v>
      </c>
      <c r="M77" s="29" t="s">
        <v>323</v>
      </c>
      <c r="N77" s="29" t="s">
        <v>324</v>
      </c>
    </row>
    <row r="78" spans="1:14" ht="15.75" x14ac:dyDescent="0.25">
      <c r="A78" t="str">
        <f t="shared" si="2"/>
        <v>LAU2-L078-SG-V3</v>
      </c>
      <c r="D78" s="8" t="s">
        <v>166</v>
      </c>
      <c r="E78" s="3" t="s">
        <v>167</v>
      </c>
      <c r="F78" t="str">
        <f t="shared" si="3"/>
        <v>LAU2-L078-S-V3</v>
      </c>
      <c r="G78">
        <v>3</v>
      </c>
      <c r="H78" s="37">
        <v>45868.34652777778</v>
      </c>
      <c r="I78" s="29" t="s">
        <v>320</v>
      </c>
      <c r="J78" s="29" t="s">
        <v>321</v>
      </c>
      <c r="K78" s="29" t="s">
        <v>322</v>
      </c>
      <c r="L78" s="29">
        <v>77</v>
      </c>
      <c r="M78" s="29" t="s">
        <v>323</v>
      </c>
      <c r="N78" s="29" t="s">
        <v>324</v>
      </c>
    </row>
    <row r="79" spans="1:14" ht="15.75" x14ac:dyDescent="0.25">
      <c r="A79" t="str">
        <f t="shared" si="2"/>
        <v>LAU2-L079-SG-V3</v>
      </c>
      <c r="D79" s="8" t="s">
        <v>168</v>
      </c>
      <c r="E79" s="3" t="s">
        <v>169</v>
      </c>
      <c r="F79" t="str">
        <f t="shared" si="3"/>
        <v>LAU2-L079-S-V3</v>
      </c>
      <c r="G79">
        <v>3</v>
      </c>
      <c r="H79" s="37">
        <v>45868.34652777778</v>
      </c>
      <c r="I79" s="29" t="s">
        <v>320</v>
      </c>
      <c r="J79" s="29" t="s">
        <v>321</v>
      </c>
      <c r="K79" s="29" t="s">
        <v>322</v>
      </c>
      <c r="L79" s="29">
        <v>78</v>
      </c>
      <c r="M79" s="29" t="s">
        <v>323</v>
      </c>
      <c r="N79" s="29" t="s">
        <v>324</v>
      </c>
    </row>
    <row r="80" spans="1:14" ht="15.75" x14ac:dyDescent="0.25">
      <c r="A80" t="str">
        <f t="shared" si="2"/>
        <v>LAU2-L080-SG-V3</v>
      </c>
      <c r="D80" s="8">
        <v>836338</v>
      </c>
      <c r="E80" s="3" t="s">
        <v>170</v>
      </c>
      <c r="F80" t="str">
        <f t="shared" si="3"/>
        <v>LAU2-L080-S-V3</v>
      </c>
      <c r="G80">
        <v>3</v>
      </c>
      <c r="H80" s="37">
        <v>45873</v>
      </c>
      <c r="I80" s="29" t="s">
        <v>320</v>
      </c>
      <c r="J80" s="29" t="s">
        <v>321</v>
      </c>
      <c r="K80" s="29" t="s">
        <v>322</v>
      </c>
      <c r="L80" s="29">
        <v>79</v>
      </c>
      <c r="M80" s="29" t="s">
        <v>323</v>
      </c>
      <c r="N80" s="29" t="s">
        <v>324</v>
      </c>
    </row>
    <row r="81" spans="1:14" ht="15.75" x14ac:dyDescent="0.25">
      <c r="A81" t="str">
        <f t="shared" si="2"/>
        <v>LAU2-L081-SG-V3</v>
      </c>
      <c r="D81" s="8" t="s">
        <v>171</v>
      </c>
      <c r="E81" s="3" t="s">
        <v>172</v>
      </c>
      <c r="F81" t="str">
        <f t="shared" si="3"/>
        <v>LAU2-L081-S-V3</v>
      </c>
      <c r="G81">
        <v>3</v>
      </c>
      <c r="H81" s="37">
        <v>45873</v>
      </c>
      <c r="I81" s="29" t="s">
        <v>320</v>
      </c>
      <c r="J81" s="29" t="s">
        <v>321</v>
      </c>
      <c r="K81" s="29" t="s">
        <v>322</v>
      </c>
      <c r="L81" s="29">
        <v>80</v>
      </c>
      <c r="M81" s="29" t="s">
        <v>323</v>
      </c>
      <c r="N81" s="29" t="s">
        <v>324</v>
      </c>
    </row>
    <row r="82" spans="1:14" ht="15.75" x14ac:dyDescent="0.25">
      <c r="A82" t="str">
        <f t="shared" si="2"/>
        <v>LAU2-L082-SG-V3</v>
      </c>
      <c r="D82" s="8" t="s">
        <v>173</v>
      </c>
      <c r="E82" s="3" t="s">
        <v>174</v>
      </c>
      <c r="F82" t="str">
        <f t="shared" si="3"/>
        <v>LAU2-L082-S-V3</v>
      </c>
      <c r="G82">
        <v>3</v>
      </c>
      <c r="H82" s="37">
        <v>45873</v>
      </c>
      <c r="I82" s="29" t="s">
        <v>320</v>
      </c>
      <c r="J82" s="29" t="s">
        <v>321</v>
      </c>
      <c r="K82" s="29" t="s">
        <v>322</v>
      </c>
      <c r="L82" s="29">
        <v>81</v>
      </c>
      <c r="M82" s="29" t="s">
        <v>323</v>
      </c>
      <c r="N82" s="29" t="s">
        <v>324</v>
      </c>
    </row>
    <row r="83" spans="1:14" ht="15.75" x14ac:dyDescent="0.25">
      <c r="A83" t="str">
        <f t="shared" si="2"/>
        <v>LAU2-L083-SG-V3</v>
      </c>
      <c r="D83" s="8" t="s">
        <v>175</v>
      </c>
      <c r="E83" s="3" t="s">
        <v>176</v>
      </c>
      <c r="F83" t="str">
        <f t="shared" si="3"/>
        <v>LAU2-L083-S-V3</v>
      </c>
      <c r="G83">
        <v>3</v>
      </c>
      <c r="H83" s="37">
        <v>45873</v>
      </c>
      <c r="I83" s="29" t="s">
        <v>320</v>
      </c>
      <c r="J83" s="29" t="s">
        <v>321</v>
      </c>
      <c r="K83" s="29" t="s">
        <v>329</v>
      </c>
      <c r="L83" s="29">
        <v>1</v>
      </c>
      <c r="M83" s="29" t="s">
        <v>323</v>
      </c>
      <c r="N83" s="29" t="s">
        <v>324</v>
      </c>
    </row>
    <row r="84" spans="1:14" ht="15.75" x14ac:dyDescent="0.25">
      <c r="A84" t="str">
        <f t="shared" si="2"/>
        <v>LAU2-L084-SG-V3</v>
      </c>
      <c r="D84" s="8" t="s">
        <v>177</v>
      </c>
      <c r="E84" s="3" t="s">
        <v>178</v>
      </c>
      <c r="F84" t="str">
        <f t="shared" si="3"/>
        <v>LAU2-L084-S-V3</v>
      </c>
      <c r="G84">
        <v>3</v>
      </c>
      <c r="H84" s="37">
        <v>45873</v>
      </c>
      <c r="I84" s="29" t="s">
        <v>320</v>
      </c>
      <c r="J84" s="29" t="s">
        <v>321</v>
      </c>
      <c r="K84" s="29" t="s">
        <v>329</v>
      </c>
      <c r="L84" s="29">
        <v>2</v>
      </c>
      <c r="M84" s="29" t="s">
        <v>323</v>
      </c>
      <c r="N84" s="29" t="s">
        <v>324</v>
      </c>
    </row>
    <row r="85" spans="1:14" ht="15.75" x14ac:dyDescent="0.25">
      <c r="A85" t="str">
        <f t="shared" si="2"/>
        <v>LAU2-L085-SG-V3</v>
      </c>
      <c r="D85" s="8" t="s">
        <v>179</v>
      </c>
      <c r="E85" s="3" t="s">
        <v>180</v>
      </c>
      <c r="F85" t="str">
        <f t="shared" si="3"/>
        <v>LAU2-L085-S-V3</v>
      </c>
      <c r="G85">
        <v>3</v>
      </c>
      <c r="H85" s="37">
        <v>45873</v>
      </c>
      <c r="I85" s="29" t="s">
        <v>320</v>
      </c>
      <c r="J85" s="29" t="s">
        <v>321</v>
      </c>
      <c r="K85" s="29" t="s">
        <v>329</v>
      </c>
      <c r="L85" s="29">
        <v>3</v>
      </c>
      <c r="M85" s="29" t="s">
        <v>323</v>
      </c>
      <c r="N85" s="29" t="s">
        <v>324</v>
      </c>
    </row>
    <row r="86" spans="1:14" ht="15.75" x14ac:dyDescent="0.25">
      <c r="A86" t="str">
        <f t="shared" si="2"/>
        <v>LAU2-L088-SG-V3</v>
      </c>
      <c r="D86" s="11" t="s">
        <v>181</v>
      </c>
      <c r="E86" s="3" t="s">
        <v>182</v>
      </c>
      <c r="F86" t="str">
        <f t="shared" si="3"/>
        <v>LAU2-L088-S-V3</v>
      </c>
      <c r="G86">
        <v>3</v>
      </c>
      <c r="H86" s="37">
        <v>45873</v>
      </c>
      <c r="I86" s="29" t="s">
        <v>320</v>
      </c>
      <c r="J86" s="29" t="s">
        <v>321</v>
      </c>
      <c r="K86" s="29" t="s">
        <v>329</v>
      </c>
      <c r="L86" s="29">
        <v>4</v>
      </c>
      <c r="M86" s="29" t="s">
        <v>323</v>
      </c>
      <c r="N86" s="29" t="s">
        <v>324</v>
      </c>
    </row>
    <row r="87" spans="1:14" ht="15.75" x14ac:dyDescent="0.25">
      <c r="A87" t="str">
        <f t="shared" si="2"/>
        <v>LAU2-L089-SG-V3</v>
      </c>
      <c r="D87" s="12" t="s">
        <v>183</v>
      </c>
      <c r="E87" s="13" t="s">
        <v>184</v>
      </c>
      <c r="F87" t="str">
        <f t="shared" si="3"/>
        <v>LAU2-L089-S-V3</v>
      </c>
      <c r="G87">
        <v>3</v>
      </c>
      <c r="H87" s="38">
        <v>45873</v>
      </c>
      <c r="I87" s="29" t="s">
        <v>320</v>
      </c>
      <c r="J87" s="29" t="s">
        <v>321</v>
      </c>
      <c r="K87" s="29" t="s">
        <v>329</v>
      </c>
      <c r="L87" s="29">
        <v>5</v>
      </c>
      <c r="M87" s="29" t="s">
        <v>323</v>
      </c>
      <c r="N87" s="29" t="s">
        <v>324</v>
      </c>
    </row>
    <row r="88" spans="1:14" ht="15.75" x14ac:dyDescent="0.25">
      <c r="A88" t="str">
        <f t="shared" si="2"/>
        <v>LAU2-L090-SG-V3</v>
      </c>
      <c r="D88" s="14" t="s">
        <v>185</v>
      </c>
      <c r="E88" s="15" t="s">
        <v>186</v>
      </c>
      <c r="F88" t="str">
        <f t="shared" si="3"/>
        <v>LAU2-L090-S-V3</v>
      </c>
      <c r="G88">
        <v>3</v>
      </c>
      <c r="H88" s="39">
        <v>45876</v>
      </c>
      <c r="I88" s="40" t="s">
        <v>320</v>
      </c>
      <c r="J88" s="29" t="s">
        <v>321</v>
      </c>
      <c r="K88" s="29" t="s">
        <v>329</v>
      </c>
      <c r="L88" s="29">
        <v>6</v>
      </c>
      <c r="M88" s="29" t="s">
        <v>323</v>
      </c>
      <c r="N88" s="29" t="s">
        <v>324</v>
      </c>
    </row>
    <row r="89" spans="1:14" ht="15.75" x14ac:dyDescent="0.25">
      <c r="A89" t="str">
        <f t="shared" si="2"/>
        <v>LAU2-L092-SG-V3</v>
      </c>
      <c r="D89" s="14" t="s">
        <v>187</v>
      </c>
      <c r="E89" s="15" t="s">
        <v>188</v>
      </c>
      <c r="F89" t="str">
        <f t="shared" si="3"/>
        <v>LAU2-L092-S-V3</v>
      </c>
      <c r="G89">
        <v>3</v>
      </c>
      <c r="H89" s="39">
        <v>45878</v>
      </c>
      <c r="I89" s="40" t="s">
        <v>320</v>
      </c>
      <c r="J89" s="29" t="s">
        <v>321</v>
      </c>
      <c r="K89" s="29" t="s">
        <v>329</v>
      </c>
      <c r="L89" s="29">
        <v>7</v>
      </c>
      <c r="M89" s="29" t="s">
        <v>323</v>
      </c>
      <c r="N89" s="29" t="s">
        <v>324</v>
      </c>
    </row>
    <row r="90" spans="1:14" ht="15.75" x14ac:dyDescent="0.25">
      <c r="A90" t="str">
        <f t="shared" si="2"/>
        <v>LAU2-L093-SG-V3</v>
      </c>
      <c r="D90" s="16" t="s">
        <v>189</v>
      </c>
      <c r="E90" s="15" t="s">
        <v>190</v>
      </c>
      <c r="F90" t="str">
        <f t="shared" si="3"/>
        <v>LAU2-L093-S-V3</v>
      </c>
      <c r="G90">
        <v>3</v>
      </c>
      <c r="H90" s="39">
        <v>45881</v>
      </c>
      <c r="I90" s="40" t="s">
        <v>320</v>
      </c>
      <c r="J90" s="29" t="s">
        <v>321</v>
      </c>
      <c r="K90" s="29" t="s">
        <v>329</v>
      </c>
      <c r="L90" s="29">
        <v>8</v>
      </c>
      <c r="M90" s="29" t="s">
        <v>323</v>
      </c>
      <c r="N90" s="29" t="s">
        <v>324</v>
      </c>
    </row>
    <row r="91" spans="1:14" ht="15.75" x14ac:dyDescent="0.25">
      <c r="A91" t="str">
        <f t="shared" si="2"/>
        <v>LAU2-L094-SG-V3</v>
      </c>
      <c r="D91" s="16" t="s">
        <v>191</v>
      </c>
      <c r="E91" s="15" t="s">
        <v>192</v>
      </c>
      <c r="F91" t="str">
        <f t="shared" si="3"/>
        <v>LAU2-L094-S-V3</v>
      </c>
      <c r="G91">
        <v>3</v>
      </c>
      <c r="H91" s="39">
        <v>45881</v>
      </c>
      <c r="I91" s="40" t="s">
        <v>320</v>
      </c>
      <c r="J91" s="29" t="s">
        <v>321</v>
      </c>
      <c r="K91" s="29" t="s">
        <v>329</v>
      </c>
      <c r="L91" s="29">
        <v>9</v>
      </c>
      <c r="M91" s="29" t="s">
        <v>323</v>
      </c>
      <c r="N91" s="29" t="s">
        <v>324</v>
      </c>
    </row>
    <row r="92" spans="1:14" ht="15.75" x14ac:dyDescent="0.25">
      <c r="A92" t="str">
        <f t="shared" si="2"/>
        <v>LAU2-L095-SG-V3</v>
      </c>
      <c r="D92" s="16" t="s">
        <v>193</v>
      </c>
      <c r="E92" s="15" t="s">
        <v>194</v>
      </c>
      <c r="F92" t="str">
        <f t="shared" si="3"/>
        <v>LAU2-L095-S-V3</v>
      </c>
      <c r="G92">
        <v>3</v>
      </c>
      <c r="H92" s="39">
        <v>45881</v>
      </c>
      <c r="I92" s="40" t="s">
        <v>320</v>
      </c>
      <c r="J92" s="29" t="s">
        <v>321</v>
      </c>
      <c r="K92" s="29" t="s">
        <v>329</v>
      </c>
      <c r="L92" s="29">
        <v>10</v>
      </c>
      <c r="M92" s="29" t="s">
        <v>323</v>
      </c>
      <c r="N92" s="29" t="s">
        <v>330</v>
      </c>
    </row>
    <row r="93" spans="1:14" ht="15.75" x14ac:dyDescent="0.25">
      <c r="A93" t="str">
        <f t="shared" si="2"/>
        <v>LAU2-L096-SG-V3</v>
      </c>
      <c r="D93" s="16" t="s">
        <v>195</v>
      </c>
      <c r="E93" s="15" t="s">
        <v>196</v>
      </c>
      <c r="F93" t="str">
        <f t="shared" si="3"/>
        <v>LAU2-L096-S-V3</v>
      </c>
      <c r="G93">
        <v>3</v>
      </c>
      <c r="H93" s="39">
        <v>45884.397222222222</v>
      </c>
      <c r="I93" s="40" t="s">
        <v>320</v>
      </c>
      <c r="J93" s="29" t="s">
        <v>321</v>
      </c>
      <c r="K93" s="29" t="s">
        <v>329</v>
      </c>
      <c r="L93" s="29">
        <v>11</v>
      </c>
      <c r="M93" s="29" t="s">
        <v>323</v>
      </c>
      <c r="N93" s="29" t="s">
        <v>324</v>
      </c>
    </row>
    <row r="94" spans="1:14" ht="15.75" x14ac:dyDescent="0.25">
      <c r="A94" t="str">
        <f t="shared" si="2"/>
        <v>LAU2-L097-SG-V3</v>
      </c>
      <c r="D94" s="16" t="s">
        <v>197</v>
      </c>
      <c r="E94" s="15" t="s">
        <v>198</v>
      </c>
      <c r="F94" t="str">
        <f t="shared" si="3"/>
        <v>LAU2-L097-S-V3</v>
      </c>
      <c r="G94">
        <v>3</v>
      </c>
      <c r="H94" s="39">
        <v>45884.006249999999</v>
      </c>
      <c r="I94" s="40" t="s">
        <v>320</v>
      </c>
      <c r="J94" s="29" t="s">
        <v>321</v>
      </c>
      <c r="K94" s="29" t="s">
        <v>329</v>
      </c>
      <c r="L94" s="29">
        <v>12</v>
      </c>
      <c r="M94" s="29" t="s">
        <v>323</v>
      </c>
      <c r="N94" s="29" t="s">
        <v>324</v>
      </c>
    </row>
    <row r="95" spans="1:14" ht="15.75" x14ac:dyDescent="0.25">
      <c r="A95" t="str">
        <f t="shared" si="2"/>
        <v>LAU2-L098-SG-V3</v>
      </c>
      <c r="D95" s="16" t="s">
        <v>199</v>
      </c>
      <c r="E95" s="15" t="s">
        <v>200</v>
      </c>
      <c r="F95" t="str">
        <f t="shared" si="3"/>
        <v>LAU2-L098-S-V3</v>
      </c>
      <c r="G95">
        <v>3</v>
      </c>
      <c r="H95" s="39">
        <v>45889.756944444445</v>
      </c>
      <c r="I95" s="40" t="s">
        <v>320</v>
      </c>
      <c r="J95" s="29" t="s">
        <v>321</v>
      </c>
      <c r="K95" s="29" t="s">
        <v>329</v>
      </c>
      <c r="L95" s="29">
        <v>13</v>
      </c>
      <c r="M95" s="29" t="s">
        <v>323</v>
      </c>
      <c r="N95" s="29" t="s">
        <v>324</v>
      </c>
    </row>
    <row r="96" spans="1:14" ht="15.75" x14ac:dyDescent="0.25">
      <c r="A96" t="str">
        <f t="shared" si="2"/>
        <v>LAU2-L099-SG-V3</v>
      </c>
      <c r="D96" s="16" t="s">
        <v>201</v>
      </c>
      <c r="E96" s="15" t="s">
        <v>202</v>
      </c>
      <c r="F96" t="str">
        <f t="shared" si="3"/>
        <v>LAU2-L099-S-V3</v>
      </c>
      <c r="G96">
        <v>3</v>
      </c>
      <c r="H96" s="39">
        <v>45891</v>
      </c>
      <c r="I96" s="40" t="s">
        <v>320</v>
      </c>
      <c r="J96" s="29" t="s">
        <v>321</v>
      </c>
      <c r="K96" s="29" t="s">
        <v>329</v>
      </c>
      <c r="L96" s="29">
        <v>14</v>
      </c>
      <c r="M96" s="29" t="s">
        <v>323</v>
      </c>
      <c r="N96" s="29" t="s">
        <v>324</v>
      </c>
    </row>
    <row r="97" spans="1:14" ht="15.75" x14ac:dyDescent="0.25">
      <c r="A97" t="str">
        <f t="shared" si="2"/>
        <v>LAU2-L100-SG-V3</v>
      </c>
      <c r="D97" s="16" t="s">
        <v>203</v>
      </c>
      <c r="E97" s="15" t="s">
        <v>204</v>
      </c>
      <c r="F97" t="str">
        <f t="shared" si="3"/>
        <v>LAU2-L100-S-V3</v>
      </c>
      <c r="G97">
        <v>3</v>
      </c>
      <c r="H97" s="39">
        <v>45896</v>
      </c>
      <c r="I97" s="40" t="s">
        <v>320</v>
      </c>
      <c r="J97" s="29" t="s">
        <v>321</v>
      </c>
      <c r="K97" s="29" t="s">
        <v>329</v>
      </c>
      <c r="L97" s="29">
        <v>15</v>
      </c>
      <c r="M97" s="29" t="s">
        <v>323</v>
      </c>
      <c r="N97" s="29" t="s">
        <v>324</v>
      </c>
    </row>
    <row r="98" spans="1:14" ht="15.75" x14ac:dyDescent="0.25">
      <c r="A98" t="str">
        <f t="shared" si="2"/>
        <v>LAU2-L101-SG-V3</v>
      </c>
      <c r="D98" s="16" t="s">
        <v>205</v>
      </c>
      <c r="E98" s="15" t="s">
        <v>206</v>
      </c>
      <c r="F98" t="str">
        <f t="shared" si="3"/>
        <v>LAU2-L101-S-V3</v>
      </c>
      <c r="G98">
        <v>3</v>
      </c>
      <c r="H98" s="39">
        <v>45898</v>
      </c>
      <c r="I98" s="40" t="s">
        <v>320</v>
      </c>
      <c r="J98" s="29" t="s">
        <v>321</v>
      </c>
      <c r="K98" s="29" t="s">
        <v>329</v>
      </c>
      <c r="L98" s="29">
        <v>16</v>
      </c>
      <c r="M98" s="29" t="s">
        <v>323</v>
      </c>
      <c r="N98" s="29" t="s">
        <v>324</v>
      </c>
    </row>
    <row r="99" spans="1:14" ht="15.75" x14ac:dyDescent="0.25">
      <c r="A99" t="str">
        <f t="shared" si="2"/>
        <v>LAU2-L102-SG-V3</v>
      </c>
      <c r="D99" s="16" t="s">
        <v>207</v>
      </c>
      <c r="E99" s="15" t="s">
        <v>208</v>
      </c>
      <c r="F99" t="str">
        <f t="shared" si="3"/>
        <v>LAU2-L102-S-V3</v>
      </c>
      <c r="G99">
        <v>3</v>
      </c>
      <c r="H99" s="39">
        <v>45898</v>
      </c>
      <c r="I99" s="40" t="s">
        <v>320</v>
      </c>
      <c r="J99" s="29" t="s">
        <v>321</v>
      </c>
      <c r="K99" s="29" t="s">
        <v>329</v>
      </c>
      <c r="L99" s="29">
        <v>17</v>
      </c>
      <c r="M99" s="29" t="s">
        <v>323</v>
      </c>
      <c r="N99" s="29" t="s">
        <v>324</v>
      </c>
    </row>
    <row r="100" spans="1:14" ht="15.75" x14ac:dyDescent="0.25">
      <c r="A100" t="str">
        <f t="shared" si="2"/>
        <v>LAU2-L104-SG-V3</v>
      </c>
      <c r="D100" s="16">
        <v>377702</v>
      </c>
      <c r="E100" s="15" t="s">
        <v>209</v>
      </c>
      <c r="F100" t="str">
        <f t="shared" si="3"/>
        <v>LAU2-L104-S-V3</v>
      </c>
      <c r="G100">
        <v>3</v>
      </c>
      <c r="H100" s="39">
        <v>45901</v>
      </c>
      <c r="I100" s="40" t="s">
        <v>320</v>
      </c>
      <c r="J100" s="29" t="s">
        <v>321</v>
      </c>
      <c r="K100" s="29" t="s">
        <v>329</v>
      </c>
      <c r="L100" s="29">
        <v>18</v>
      </c>
      <c r="M100" s="29" t="s">
        <v>323</v>
      </c>
      <c r="N100" s="29" t="s">
        <v>324</v>
      </c>
    </row>
    <row r="101" spans="1:14" ht="15.75" x14ac:dyDescent="0.25">
      <c r="A101" t="str">
        <f t="shared" si="2"/>
        <v>LAU2-L105-SG-V3</v>
      </c>
      <c r="D101" s="16" t="s">
        <v>210</v>
      </c>
      <c r="E101" s="15" t="s">
        <v>211</v>
      </c>
      <c r="F101" t="str">
        <f t="shared" si="3"/>
        <v>LAU2-L105-S-V3</v>
      </c>
      <c r="G101">
        <v>3</v>
      </c>
      <c r="H101" s="39">
        <v>45903</v>
      </c>
      <c r="I101" s="40" t="s">
        <v>320</v>
      </c>
      <c r="J101" s="29" t="s">
        <v>321</v>
      </c>
      <c r="K101" s="29" t="s">
        <v>329</v>
      </c>
      <c r="L101" s="29">
        <v>19</v>
      </c>
      <c r="M101" s="29" t="s">
        <v>323</v>
      </c>
      <c r="N101" s="29" t="s">
        <v>324</v>
      </c>
    </row>
    <row r="102" spans="1:14" ht="15.75" x14ac:dyDescent="0.25">
      <c r="A102" t="str">
        <f t="shared" si="2"/>
        <v>LAU2-L001-SG-V6</v>
      </c>
      <c r="D102" s="17" t="s">
        <v>14</v>
      </c>
      <c r="E102" s="3" t="s">
        <v>212</v>
      </c>
      <c r="F102" t="str">
        <f t="shared" si="3"/>
        <v>LAU2-L001-S-V6</v>
      </c>
      <c r="G102">
        <v>6</v>
      </c>
      <c r="H102" s="37">
        <v>45860.573611111111</v>
      </c>
      <c r="I102" s="29" t="s">
        <v>320</v>
      </c>
      <c r="J102" s="29" t="s">
        <v>321</v>
      </c>
      <c r="K102" s="29" t="s">
        <v>322</v>
      </c>
      <c r="L102" s="29">
        <v>1</v>
      </c>
      <c r="M102" s="41" t="s">
        <v>323</v>
      </c>
      <c r="N102" s="42" t="s">
        <v>324</v>
      </c>
    </row>
    <row r="103" spans="1:14" ht="15.75" x14ac:dyDescent="0.25">
      <c r="A103" t="str">
        <f t="shared" si="2"/>
        <v>LAU2-L002-SG-V6</v>
      </c>
      <c r="D103" s="17" t="s">
        <v>16</v>
      </c>
      <c r="E103" s="3" t="s">
        <v>213</v>
      </c>
      <c r="F103" t="str">
        <f t="shared" si="3"/>
        <v>LAU2-L002-S-V6</v>
      </c>
      <c r="G103">
        <v>6</v>
      </c>
      <c r="H103" s="37">
        <v>45860.573611111111</v>
      </c>
      <c r="I103" s="29" t="s">
        <v>320</v>
      </c>
      <c r="J103" s="29" t="s">
        <v>321</v>
      </c>
      <c r="K103" s="29" t="s">
        <v>322</v>
      </c>
      <c r="L103" s="29">
        <v>2</v>
      </c>
      <c r="M103" s="41" t="s">
        <v>323</v>
      </c>
      <c r="N103" s="42" t="s">
        <v>324</v>
      </c>
    </row>
    <row r="104" spans="1:14" ht="15.75" x14ac:dyDescent="0.25">
      <c r="A104" t="str">
        <f t="shared" si="2"/>
        <v>LAU2-L067-SG-V6</v>
      </c>
      <c r="D104" s="17" t="s">
        <v>214</v>
      </c>
      <c r="E104" s="3" t="s">
        <v>215</v>
      </c>
      <c r="F104" t="str">
        <f t="shared" si="3"/>
        <v>LAU2-L067-S-V6</v>
      </c>
      <c r="G104">
        <v>6</v>
      </c>
      <c r="H104" s="37">
        <v>45860.573611111111</v>
      </c>
      <c r="I104" s="29" t="s">
        <v>320</v>
      </c>
      <c r="J104" s="29" t="s">
        <v>321</v>
      </c>
      <c r="K104" s="29" t="s">
        <v>322</v>
      </c>
      <c r="L104" s="29">
        <v>3</v>
      </c>
      <c r="M104" s="41" t="s">
        <v>323</v>
      </c>
      <c r="N104" s="42" t="s">
        <v>324</v>
      </c>
    </row>
    <row r="105" spans="1:14" ht="15.75" x14ac:dyDescent="0.25">
      <c r="A105" t="str">
        <f t="shared" si="2"/>
        <v>LAU2-L017-SG-V6</v>
      </c>
      <c r="D105" s="17" t="s">
        <v>46</v>
      </c>
      <c r="E105" s="3" t="s">
        <v>216</v>
      </c>
      <c r="F105" t="str">
        <f t="shared" si="3"/>
        <v>LAU2-L017-S-V6</v>
      </c>
      <c r="G105">
        <v>6</v>
      </c>
      <c r="H105" s="37">
        <v>45868.347916666666</v>
      </c>
      <c r="I105" s="29" t="s">
        <v>320</v>
      </c>
      <c r="J105" s="29" t="s">
        <v>321</v>
      </c>
      <c r="K105" s="29" t="s">
        <v>322</v>
      </c>
      <c r="L105" s="29">
        <v>4</v>
      </c>
      <c r="M105" s="41" t="s">
        <v>323</v>
      </c>
      <c r="N105" s="42" t="s">
        <v>324</v>
      </c>
    </row>
    <row r="106" spans="1:14" ht="15.75" x14ac:dyDescent="0.25">
      <c r="A106" t="str">
        <f t="shared" si="2"/>
        <v>LAU2-L013-SG-V6</v>
      </c>
      <c r="D106" s="17" t="s">
        <v>38</v>
      </c>
      <c r="E106" s="3" t="s">
        <v>217</v>
      </c>
      <c r="F106" t="str">
        <f t="shared" si="3"/>
        <v>LAU2-L013-S-V6</v>
      </c>
      <c r="G106">
        <v>6</v>
      </c>
      <c r="H106" s="37">
        <v>45868.347916666666</v>
      </c>
      <c r="I106" s="29" t="s">
        <v>320</v>
      </c>
      <c r="J106" s="29" t="s">
        <v>321</v>
      </c>
      <c r="K106" s="29" t="s">
        <v>322</v>
      </c>
      <c r="L106" s="29">
        <v>5</v>
      </c>
      <c r="M106" s="41" t="s">
        <v>323</v>
      </c>
      <c r="N106" s="42" t="s">
        <v>324</v>
      </c>
    </row>
    <row r="107" spans="1:14" ht="15.75" x14ac:dyDescent="0.25">
      <c r="A107" t="str">
        <f t="shared" si="2"/>
        <v>LAU2-L003-SG-V6</v>
      </c>
      <c r="D107" s="17" t="s">
        <v>218</v>
      </c>
      <c r="E107" s="3" t="s">
        <v>219</v>
      </c>
      <c r="F107" t="str">
        <f t="shared" si="3"/>
        <v>LAU2-L003-S-V6</v>
      </c>
      <c r="G107">
        <v>6</v>
      </c>
      <c r="H107" s="37">
        <v>45868.347916666666</v>
      </c>
      <c r="I107" s="29" t="s">
        <v>320</v>
      </c>
      <c r="J107" s="29" t="s">
        <v>321</v>
      </c>
      <c r="K107" s="29" t="s">
        <v>322</v>
      </c>
      <c r="L107" s="29">
        <v>6</v>
      </c>
      <c r="M107" s="41" t="s">
        <v>323</v>
      </c>
      <c r="N107" s="42" t="s">
        <v>324</v>
      </c>
    </row>
    <row r="108" spans="1:14" ht="15.75" x14ac:dyDescent="0.25">
      <c r="A108" t="str">
        <f t="shared" si="2"/>
        <v>LAU2-L004-SG-V6</v>
      </c>
      <c r="D108" s="17" t="s">
        <v>20</v>
      </c>
      <c r="E108" s="3" t="s">
        <v>220</v>
      </c>
      <c r="F108" t="str">
        <f t="shared" si="3"/>
        <v>LAU2-L004-S-V6</v>
      </c>
      <c r="G108">
        <v>6</v>
      </c>
      <c r="H108" s="37">
        <v>45868.347916666666</v>
      </c>
      <c r="I108" s="29" t="s">
        <v>320</v>
      </c>
      <c r="J108" s="29" t="s">
        <v>321</v>
      </c>
      <c r="K108" s="29" t="s">
        <v>322</v>
      </c>
      <c r="L108" s="29">
        <v>7</v>
      </c>
      <c r="M108" s="41" t="s">
        <v>323</v>
      </c>
      <c r="N108" s="42" t="s">
        <v>324</v>
      </c>
    </row>
    <row r="109" spans="1:14" ht="15.75" x14ac:dyDescent="0.25">
      <c r="A109" t="str">
        <f t="shared" si="2"/>
        <v>LAU2-L008-SG-V6</v>
      </c>
      <c r="D109" s="17" t="s">
        <v>28</v>
      </c>
      <c r="E109" s="3" t="s">
        <v>221</v>
      </c>
      <c r="F109" t="str">
        <f t="shared" si="3"/>
        <v>LAU2-L008-S-V6</v>
      </c>
      <c r="G109">
        <v>6</v>
      </c>
      <c r="H109" s="37">
        <v>45868.347916666666</v>
      </c>
      <c r="I109" s="29" t="s">
        <v>320</v>
      </c>
      <c r="J109" s="29" t="s">
        <v>321</v>
      </c>
      <c r="K109" s="29" t="s">
        <v>322</v>
      </c>
      <c r="L109" s="29">
        <v>8</v>
      </c>
      <c r="M109" s="41" t="s">
        <v>323</v>
      </c>
      <c r="N109" s="42" t="s">
        <v>324</v>
      </c>
    </row>
    <row r="110" spans="1:14" ht="15.75" x14ac:dyDescent="0.25">
      <c r="A110" t="str">
        <f t="shared" si="2"/>
        <v>LAU2-L009-SG-V6</v>
      </c>
      <c r="D110" s="17" t="s">
        <v>30</v>
      </c>
      <c r="E110" s="3" t="s">
        <v>222</v>
      </c>
      <c r="F110" t="str">
        <f t="shared" si="3"/>
        <v>LAU2-L009-S-V6</v>
      </c>
      <c r="G110">
        <v>6</v>
      </c>
      <c r="H110" s="37">
        <v>45868.347916666666</v>
      </c>
      <c r="I110" s="29" t="s">
        <v>320</v>
      </c>
      <c r="J110" s="29" t="s">
        <v>321</v>
      </c>
      <c r="K110" s="29" t="s">
        <v>322</v>
      </c>
      <c r="L110" s="29">
        <v>9</v>
      </c>
      <c r="M110" s="41" t="s">
        <v>323</v>
      </c>
      <c r="N110" s="42" t="s">
        <v>324</v>
      </c>
    </row>
    <row r="111" spans="1:14" ht="15.75" x14ac:dyDescent="0.25">
      <c r="A111" t="str">
        <f t="shared" si="2"/>
        <v>LAU2-L011-SG-V6</v>
      </c>
      <c r="D111" s="17" t="s">
        <v>34</v>
      </c>
      <c r="E111" s="3" t="s">
        <v>223</v>
      </c>
      <c r="F111" t="str">
        <f t="shared" si="3"/>
        <v>LAU2-L011-S-V6</v>
      </c>
      <c r="G111">
        <v>6</v>
      </c>
      <c r="H111" s="37">
        <v>45868.347916666666</v>
      </c>
      <c r="I111" s="29" t="s">
        <v>320</v>
      </c>
      <c r="J111" s="29" t="s">
        <v>321</v>
      </c>
      <c r="K111" s="29" t="s">
        <v>322</v>
      </c>
      <c r="L111" s="29">
        <v>10</v>
      </c>
      <c r="M111" s="41" t="s">
        <v>323</v>
      </c>
      <c r="N111" s="42" t="s">
        <v>324</v>
      </c>
    </row>
    <row r="112" spans="1:14" ht="15.75" x14ac:dyDescent="0.25">
      <c r="A112" t="str">
        <f t="shared" si="2"/>
        <v>LAU2-L015-SG-V6</v>
      </c>
      <c r="D112" s="17" t="s">
        <v>42</v>
      </c>
      <c r="E112" s="3" t="s">
        <v>224</v>
      </c>
      <c r="F112" t="str">
        <f t="shared" si="3"/>
        <v>LAU2-L015-S-V6</v>
      </c>
      <c r="G112">
        <v>6</v>
      </c>
      <c r="H112" s="37">
        <v>45868.347916666666</v>
      </c>
      <c r="I112" s="29" t="s">
        <v>320</v>
      </c>
      <c r="J112" s="29" t="s">
        <v>321</v>
      </c>
      <c r="K112" s="29" t="s">
        <v>322</v>
      </c>
      <c r="L112" s="29">
        <v>11</v>
      </c>
      <c r="M112" s="41" t="s">
        <v>323</v>
      </c>
      <c r="N112" s="42" t="s">
        <v>324</v>
      </c>
    </row>
    <row r="113" spans="1:14" ht="15.75" x14ac:dyDescent="0.25">
      <c r="A113" t="str">
        <f t="shared" si="2"/>
        <v>LAU2-L010-SG-V6</v>
      </c>
      <c r="D113" s="17" t="s">
        <v>32</v>
      </c>
      <c r="E113" s="3" t="s">
        <v>225</v>
      </c>
      <c r="F113" t="str">
        <f t="shared" si="3"/>
        <v>LAU2-L010-S-V6</v>
      </c>
      <c r="G113">
        <v>6</v>
      </c>
      <c r="H113" s="37">
        <v>45868.347916666666</v>
      </c>
      <c r="I113" s="29" t="s">
        <v>320</v>
      </c>
      <c r="J113" s="29" t="s">
        <v>321</v>
      </c>
      <c r="K113" s="29" t="s">
        <v>322</v>
      </c>
      <c r="L113" s="29">
        <v>12</v>
      </c>
      <c r="M113" s="41" t="s">
        <v>323</v>
      </c>
      <c r="N113" s="42" t="s">
        <v>324</v>
      </c>
    </row>
    <row r="114" spans="1:14" ht="15.75" x14ac:dyDescent="0.25">
      <c r="A114" t="str">
        <f t="shared" si="2"/>
        <v>LAU2-L086-SG-V6</v>
      </c>
      <c r="D114" s="17" t="s">
        <v>226</v>
      </c>
      <c r="E114" s="3" t="s">
        <v>227</v>
      </c>
      <c r="F114" t="str">
        <f t="shared" si="3"/>
        <v>LAU2-L086-S-V6</v>
      </c>
      <c r="G114">
        <v>6</v>
      </c>
      <c r="H114" s="37">
        <v>45873</v>
      </c>
      <c r="I114" s="29" t="s">
        <v>320</v>
      </c>
      <c r="J114" s="29" t="s">
        <v>321</v>
      </c>
      <c r="K114" s="29" t="s">
        <v>322</v>
      </c>
      <c r="L114" s="29">
        <v>13</v>
      </c>
      <c r="M114" s="41" t="s">
        <v>323</v>
      </c>
      <c r="N114" s="42" t="s">
        <v>324</v>
      </c>
    </row>
    <row r="115" spans="1:14" ht="15.75" x14ac:dyDescent="0.25">
      <c r="A115" t="str">
        <f t="shared" si="2"/>
        <v>LAU2-L006-SG-V6</v>
      </c>
      <c r="D115" s="17" t="s">
        <v>24</v>
      </c>
      <c r="E115" s="3" t="s">
        <v>228</v>
      </c>
      <c r="F115" t="str">
        <f t="shared" si="3"/>
        <v>LAU2-L006-S-V6</v>
      </c>
      <c r="G115">
        <v>6</v>
      </c>
      <c r="H115" s="37">
        <v>45873</v>
      </c>
      <c r="I115" s="29" t="s">
        <v>320</v>
      </c>
      <c r="J115" s="29" t="s">
        <v>321</v>
      </c>
      <c r="K115" s="29" t="s">
        <v>322</v>
      </c>
      <c r="L115" s="29">
        <v>14</v>
      </c>
      <c r="M115" s="41" t="s">
        <v>323</v>
      </c>
      <c r="N115" s="42" t="s">
        <v>324</v>
      </c>
    </row>
    <row r="116" spans="1:14" ht="15.75" x14ac:dyDescent="0.25">
      <c r="A116" t="str">
        <f t="shared" si="2"/>
        <v>LAU2-L020-SG-V6</v>
      </c>
      <c r="D116" s="17" t="s">
        <v>52</v>
      </c>
      <c r="E116" s="3" t="s">
        <v>229</v>
      </c>
      <c r="F116" t="str">
        <f t="shared" si="3"/>
        <v>LAU2-L020-S-V6</v>
      </c>
      <c r="G116">
        <v>6</v>
      </c>
      <c r="H116" s="37">
        <v>45873</v>
      </c>
      <c r="I116" s="29" t="s">
        <v>320</v>
      </c>
      <c r="J116" s="29" t="s">
        <v>321</v>
      </c>
      <c r="K116" s="29" t="s">
        <v>322</v>
      </c>
      <c r="L116" s="29">
        <v>15</v>
      </c>
      <c r="M116" s="41" t="s">
        <v>323</v>
      </c>
      <c r="N116" s="42" t="s">
        <v>324</v>
      </c>
    </row>
    <row r="117" spans="1:14" ht="15.75" x14ac:dyDescent="0.25">
      <c r="A117" t="str">
        <f t="shared" si="2"/>
        <v>LAU2-L087-SG-V6</v>
      </c>
      <c r="D117" s="17" t="s">
        <v>230</v>
      </c>
      <c r="E117" s="3" t="s">
        <v>231</v>
      </c>
      <c r="F117" t="str">
        <f t="shared" si="3"/>
        <v>LAU2-L087-S-V6</v>
      </c>
      <c r="G117">
        <v>6</v>
      </c>
      <c r="H117" s="37">
        <v>45873</v>
      </c>
      <c r="I117" s="29" t="s">
        <v>320</v>
      </c>
      <c r="J117" s="29" t="s">
        <v>321</v>
      </c>
      <c r="K117" s="29" t="s">
        <v>322</v>
      </c>
      <c r="L117" s="29">
        <v>16</v>
      </c>
      <c r="M117" s="41" t="s">
        <v>323</v>
      </c>
      <c r="N117" s="42" t="s">
        <v>324</v>
      </c>
    </row>
    <row r="118" spans="1:14" ht="15.75" x14ac:dyDescent="0.25">
      <c r="A118" t="str">
        <f t="shared" si="2"/>
        <v>LAU2-L033-SG-V6</v>
      </c>
      <c r="D118" s="17" t="s">
        <v>78</v>
      </c>
      <c r="E118" s="3" t="s">
        <v>232</v>
      </c>
      <c r="F118" t="str">
        <f t="shared" si="3"/>
        <v>LAU2-L033-S-V6</v>
      </c>
      <c r="G118">
        <v>6</v>
      </c>
      <c r="H118" s="37">
        <v>45873</v>
      </c>
      <c r="I118" s="29" t="s">
        <v>320</v>
      </c>
      <c r="J118" s="29" t="s">
        <v>321</v>
      </c>
      <c r="K118" s="29" t="s">
        <v>322</v>
      </c>
      <c r="L118" s="29">
        <v>17</v>
      </c>
      <c r="M118" s="41" t="s">
        <v>323</v>
      </c>
      <c r="N118" s="42" t="s">
        <v>324</v>
      </c>
    </row>
    <row r="119" spans="1:14" ht="15.75" x14ac:dyDescent="0.25">
      <c r="A119" t="str">
        <f t="shared" si="2"/>
        <v>LAU2-L032-SG-V6</v>
      </c>
      <c r="D119" s="18" t="s">
        <v>76</v>
      </c>
      <c r="E119" s="3" t="s">
        <v>233</v>
      </c>
      <c r="F119" t="str">
        <f t="shared" si="3"/>
        <v>LAU2-L032-S-V6</v>
      </c>
      <c r="G119">
        <v>6</v>
      </c>
      <c r="H119" s="38">
        <v>45873</v>
      </c>
      <c r="I119" s="34" t="s">
        <v>320</v>
      </c>
      <c r="J119" s="34" t="s">
        <v>321</v>
      </c>
      <c r="K119" s="29" t="s">
        <v>322</v>
      </c>
      <c r="L119" s="34">
        <v>18</v>
      </c>
      <c r="M119" s="43" t="s">
        <v>323</v>
      </c>
      <c r="N119" s="42" t="s">
        <v>324</v>
      </c>
    </row>
    <row r="120" spans="1:14" ht="15.75" x14ac:dyDescent="0.25">
      <c r="A120" t="str">
        <f t="shared" si="2"/>
        <v>LAU2-L016-SG-V6</v>
      </c>
      <c r="D120" s="19" t="s">
        <v>44</v>
      </c>
      <c r="E120" s="3" t="s">
        <v>234</v>
      </c>
      <c r="F120" t="str">
        <f t="shared" si="3"/>
        <v>LAU2-L016-S-V6</v>
      </c>
      <c r="G120">
        <v>6</v>
      </c>
      <c r="H120" s="38">
        <v>45873</v>
      </c>
      <c r="I120" s="34" t="s">
        <v>320</v>
      </c>
      <c r="J120" s="34" t="s">
        <v>321</v>
      </c>
      <c r="K120" s="29" t="s">
        <v>322</v>
      </c>
      <c r="L120" s="34">
        <v>19</v>
      </c>
      <c r="M120" s="43" t="s">
        <v>323</v>
      </c>
      <c r="N120" s="42" t="s">
        <v>324</v>
      </c>
    </row>
    <row r="121" spans="1:14" ht="15.75" x14ac:dyDescent="0.25">
      <c r="A121" t="str">
        <f t="shared" si="2"/>
        <v>LAU2-L005-SG-V6</v>
      </c>
      <c r="D121" s="19" t="s">
        <v>22</v>
      </c>
      <c r="E121" s="3" t="s">
        <v>235</v>
      </c>
      <c r="F121" t="str">
        <f t="shared" si="3"/>
        <v>LAU2-L005-S-V6</v>
      </c>
      <c r="G121">
        <v>6</v>
      </c>
      <c r="H121" s="38">
        <v>45873</v>
      </c>
      <c r="I121" s="34" t="s">
        <v>320</v>
      </c>
      <c r="J121" s="34" t="s">
        <v>321</v>
      </c>
      <c r="K121" s="29" t="s">
        <v>322</v>
      </c>
      <c r="L121" s="34">
        <v>20</v>
      </c>
      <c r="M121" s="43" t="s">
        <v>323</v>
      </c>
      <c r="N121" s="42" t="s">
        <v>324</v>
      </c>
    </row>
    <row r="122" spans="1:14" ht="15.75" x14ac:dyDescent="0.25">
      <c r="A122" t="str">
        <f t="shared" si="2"/>
        <v>LAU2-L024-SG-V6</v>
      </c>
      <c r="D122" s="19" t="s">
        <v>60</v>
      </c>
      <c r="E122" s="3" t="s">
        <v>236</v>
      </c>
      <c r="F122" t="str">
        <f t="shared" si="3"/>
        <v>LAU2-L024-S-V6</v>
      </c>
      <c r="G122">
        <v>6</v>
      </c>
      <c r="H122" s="38">
        <v>45873</v>
      </c>
      <c r="I122" s="34" t="s">
        <v>320</v>
      </c>
      <c r="J122" s="34" t="s">
        <v>321</v>
      </c>
      <c r="K122" s="29" t="s">
        <v>322</v>
      </c>
      <c r="L122" s="34">
        <v>21</v>
      </c>
      <c r="M122" s="43" t="s">
        <v>323</v>
      </c>
      <c r="N122" s="42" t="s">
        <v>324</v>
      </c>
    </row>
    <row r="123" spans="1:14" ht="15.75" x14ac:dyDescent="0.25">
      <c r="A123" t="str">
        <f t="shared" si="2"/>
        <v>LAU2-L028-SG-V6</v>
      </c>
      <c r="D123" s="19" t="s">
        <v>68</v>
      </c>
      <c r="E123" s="3" t="s">
        <v>237</v>
      </c>
      <c r="F123" t="str">
        <f t="shared" si="3"/>
        <v>LAU2-L028-S-V6</v>
      </c>
      <c r="G123">
        <v>6</v>
      </c>
      <c r="H123" s="38">
        <v>45873</v>
      </c>
      <c r="I123" s="34" t="s">
        <v>320</v>
      </c>
      <c r="J123" s="34" t="s">
        <v>321</v>
      </c>
      <c r="K123" s="29" t="s">
        <v>322</v>
      </c>
      <c r="L123" s="34">
        <v>22</v>
      </c>
      <c r="M123" s="43" t="s">
        <v>323</v>
      </c>
      <c r="N123" s="42" t="s">
        <v>324</v>
      </c>
    </row>
    <row r="124" spans="1:14" ht="15.75" x14ac:dyDescent="0.25">
      <c r="A124" t="str">
        <f t="shared" si="2"/>
        <v>LAU2-L027-SG-V6</v>
      </c>
      <c r="D124" s="19" t="s">
        <v>66</v>
      </c>
      <c r="E124" s="3" t="s">
        <v>238</v>
      </c>
      <c r="F124" t="str">
        <f t="shared" si="3"/>
        <v>LAU2-L027-S-V6</v>
      </c>
      <c r="G124">
        <v>6</v>
      </c>
      <c r="H124" s="38">
        <v>45873</v>
      </c>
      <c r="I124" s="34" t="s">
        <v>320</v>
      </c>
      <c r="J124" s="34" t="s">
        <v>321</v>
      </c>
      <c r="K124" s="29" t="s">
        <v>322</v>
      </c>
      <c r="L124" s="34">
        <v>23</v>
      </c>
      <c r="M124" s="43" t="s">
        <v>323</v>
      </c>
      <c r="N124" s="42" t="s">
        <v>324</v>
      </c>
    </row>
    <row r="125" spans="1:14" ht="15.75" x14ac:dyDescent="0.25">
      <c r="A125" t="str">
        <f t="shared" si="2"/>
        <v>LAU2-L018-SG-V6</v>
      </c>
      <c r="D125" s="20" t="s">
        <v>48</v>
      </c>
      <c r="E125" s="3" t="s">
        <v>239</v>
      </c>
      <c r="F125" t="str">
        <f t="shared" si="3"/>
        <v>LAU2-L018-S-V6</v>
      </c>
      <c r="G125">
        <v>6</v>
      </c>
      <c r="H125" s="44">
        <v>45873</v>
      </c>
      <c r="I125" s="34" t="s">
        <v>320</v>
      </c>
      <c r="J125" s="34" t="s">
        <v>321</v>
      </c>
      <c r="K125" s="29" t="s">
        <v>322</v>
      </c>
      <c r="L125" s="34">
        <v>24</v>
      </c>
      <c r="M125" s="43" t="s">
        <v>323</v>
      </c>
      <c r="N125" s="42" t="s">
        <v>324</v>
      </c>
    </row>
    <row r="126" spans="1:14" ht="15.75" x14ac:dyDescent="0.25">
      <c r="A126" t="str">
        <f t="shared" si="2"/>
        <v>LAU2-L091-SG-V6</v>
      </c>
      <c r="D126" s="20" t="s">
        <v>240</v>
      </c>
      <c r="E126" s="3" t="s">
        <v>241</v>
      </c>
      <c r="F126" t="str">
        <f t="shared" si="3"/>
        <v>LAU2-L091-S-V6</v>
      </c>
      <c r="G126">
        <v>6</v>
      </c>
      <c r="H126" s="44">
        <v>45876</v>
      </c>
      <c r="I126" s="34" t="s">
        <v>320</v>
      </c>
      <c r="J126" s="34" t="s">
        <v>321</v>
      </c>
      <c r="K126" s="29" t="s">
        <v>322</v>
      </c>
      <c r="L126" s="34">
        <v>25</v>
      </c>
      <c r="M126" s="43" t="s">
        <v>323</v>
      </c>
      <c r="N126" s="42" t="s">
        <v>324</v>
      </c>
    </row>
    <row r="127" spans="1:14" ht="15.75" x14ac:dyDescent="0.25">
      <c r="A127" t="str">
        <f t="shared" si="2"/>
        <v>LAU2-L021-SG-V6</v>
      </c>
      <c r="D127" s="20" t="s">
        <v>54</v>
      </c>
      <c r="E127" s="3" t="s">
        <v>242</v>
      </c>
      <c r="F127" t="str">
        <f t="shared" si="3"/>
        <v>LAU2-L021-S-V6</v>
      </c>
      <c r="G127">
        <v>6</v>
      </c>
      <c r="H127" s="44">
        <v>45876</v>
      </c>
      <c r="I127" s="34" t="s">
        <v>320</v>
      </c>
      <c r="J127" s="34" t="s">
        <v>321</v>
      </c>
      <c r="K127" s="29" t="s">
        <v>322</v>
      </c>
      <c r="L127" s="34">
        <v>26</v>
      </c>
      <c r="M127" s="43" t="s">
        <v>323</v>
      </c>
      <c r="N127" s="42" t="s">
        <v>324</v>
      </c>
    </row>
    <row r="128" spans="1:14" ht="15.75" x14ac:dyDescent="0.25">
      <c r="A128" t="str">
        <f t="shared" si="2"/>
        <v>LAU2-L019-SG-V6</v>
      </c>
      <c r="D128" s="20" t="s">
        <v>50</v>
      </c>
      <c r="E128" s="3" t="s">
        <v>243</v>
      </c>
      <c r="F128" t="str">
        <f t="shared" si="3"/>
        <v>LAU2-L019-S-V6</v>
      </c>
      <c r="G128">
        <v>6</v>
      </c>
      <c r="H128" s="44">
        <v>45876</v>
      </c>
      <c r="I128" s="34" t="s">
        <v>320</v>
      </c>
      <c r="J128" s="34" t="s">
        <v>321</v>
      </c>
      <c r="K128" s="29" t="s">
        <v>322</v>
      </c>
      <c r="L128" s="34">
        <v>27</v>
      </c>
      <c r="M128" s="43" t="s">
        <v>323</v>
      </c>
      <c r="N128" s="42" t="s">
        <v>324</v>
      </c>
    </row>
    <row r="129" spans="1:14" ht="15.75" x14ac:dyDescent="0.25">
      <c r="A129" t="str">
        <f t="shared" si="2"/>
        <v>LAU2-L030-SG-V6</v>
      </c>
      <c r="D129" s="20" t="s">
        <v>72</v>
      </c>
      <c r="E129" s="3" t="s">
        <v>244</v>
      </c>
      <c r="F129" t="str">
        <f t="shared" si="3"/>
        <v>LAU2-L030-S-V6</v>
      </c>
      <c r="G129">
        <v>6</v>
      </c>
      <c r="H129" s="44">
        <v>45876</v>
      </c>
      <c r="I129" s="34" t="s">
        <v>320</v>
      </c>
      <c r="J129" s="34" t="s">
        <v>321</v>
      </c>
      <c r="K129" s="29" t="s">
        <v>322</v>
      </c>
      <c r="L129" s="34">
        <v>28</v>
      </c>
      <c r="M129" s="43" t="s">
        <v>323</v>
      </c>
      <c r="N129" s="42" t="s">
        <v>324</v>
      </c>
    </row>
    <row r="130" spans="1:14" ht="15.75" x14ac:dyDescent="0.25">
      <c r="A130" t="str">
        <f t="shared" si="2"/>
        <v>LAU2-L036-SG-V6</v>
      </c>
      <c r="D130" s="19" t="s">
        <v>84</v>
      </c>
      <c r="E130" s="3" t="s">
        <v>245</v>
      </c>
      <c r="F130" t="str">
        <f t="shared" si="3"/>
        <v>LAU2-L036-S-V6</v>
      </c>
      <c r="G130">
        <v>6</v>
      </c>
      <c r="H130" s="39">
        <v>45878</v>
      </c>
      <c r="I130" s="42" t="s">
        <v>320</v>
      </c>
      <c r="J130" s="42" t="s">
        <v>321</v>
      </c>
      <c r="K130" s="29" t="s">
        <v>322</v>
      </c>
      <c r="L130" s="42">
        <v>29</v>
      </c>
      <c r="M130" s="45" t="s">
        <v>323</v>
      </c>
      <c r="N130" s="42" t="s">
        <v>324</v>
      </c>
    </row>
    <row r="131" spans="1:14" ht="15.75" x14ac:dyDescent="0.25">
      <c r="A131" t="str">
        <f t="shared" ref="A131:A194" si="4">SUBSTITUTE(E131,"-G-","-SG-")</f>
        <v>LAU2-L048-SG-V6</v>
      </c>
      <c r="D131" s="19" t="s">
        <v>108</v>
      </c>
      <c r="E131" s="3" t="s">
        <v>246</v>
      </c>
      <c r="F131" t="str">
        <f t="shared" ref="F131:F194" si="5">SUBSTITUTE(E131,"-G-","-S-")</f>
        <v>LAU2-L048-S-V6</v>
      </c>
      <c r="G131">
        <v>6</v>
      </c>
      <c r="H131" s="39">
        <v>45878</v>
      </c>
      <c r="I131" s="42" t="s">
        <v>320</v>
      </c>
      <c r="J131" s="42" t="s">
        <v>321</v>
      </c>
      <c r="K131" s="29" t="s">
        <v>322</v>
      </c>
      <c r="L131" s="42">
        <v>30</v>
      </c>
      <c r="M131" s="45" t="s">
        <v>323</v>
      </c>
      <c r="N131" s="42" t="s">
        <v>324</v>
      </c>
    </row>
    <row r="132" spans="1:14" ht="15.75" x14ac:dyDescent="0.25">
      <c r="A132" t="str">
        <f t="shared" si="4"/>
        <v>LAU2-L023-SG-V6</v>
      </c>
      <c r="D132" s="19" t="s">
        <v>58</v>
      </c>
      <c r="E132" s="3" t="s">
        <v>247</v>
      </c>
      <c r="F132" t="str">
        <f t="shared" si="5"/>
        <v>LAU2-L023-S-V6</v>
      </c>
      <c r="G132">
        <v>6</v>
      </c>
      <c r="H132" s="39">
        <v>45878</v>
      </c>
      <c r="I132" s="42" t="s">
        <v>320</v>
      </c>
      <c r="J132" s="42" t="s">
        <v>321</v>
      </c>
      <c r="K132" s="29" t="s">
        <v>322</v>
      </c>
      <c r="L132" s="42">
        <v>31</v>
      </c>
      <c r="M132" s="45" t="s">
        <v>323</v>
      </c>
      <c r="N132" s="42" t="s">
        <v>331</v>
      </c>
    </row>
    <row r="133" spans="1:14" ht="15.75" x14ac:dyDescent="0.25">
      <c r="A133" t="str">
        <f t="shared" si="4"/>
        <v>LAU2-L049-SG-V6</v>
      </c>
      <c r="D133" s="19" t="s">
        <v>110</v>
      </c>
      <c r="E133" s="3" t="s">
        <v>248</v>
      </c>
      <c r="F133" t="str">
        <f t="shared" si="5"/>
        <v>LAU2-L049-S-V6</v>
      </c>
      <c r="G133">
        <v>6</v>
      </c>
      <c r="H133" s="39">
        <v>45878</v>
      </c>
      <c r="I133" s="42" t="s">
        <v>320</v>
      </c>
      <c r="J133" s="42" t="s">
        <v>321</v>
      </c>
      <c r="K133" s="29" t="s">
        <v>322</v>
      </c>
      <c r="L133" s="42">
        <v>32</v>
      </c>
      <c r="M133" s="45" t="s">
        <v>323</v>
      </c>
      <c r="N133" s="42" t="s">
        <v>324</v>
      </c>
    </row>
    <row r="134" spans="1:14" ht="15.75" x14ac:dyDescent="0.25">
      <c r="A134" t="str">
        <f t="shared" si="4"/>
        <v>LAU2-L012-SG-V6</v>
      </c>
      <c r="D134" s="19" t="s">
        <v>36</v>
      </c>
      <c r="E134" s="3" t="s">
        <v>249</v>
      </c>
      <c r="F134" t="str">
        <f t="shared" si="5"/>
        <v>LAU2-L012-S-V6</v>
      </c>
      <c r="G134">
        <v>6</v>
      </c>
      <c r="H134" s="39">
        <v>45878</v>
      </c>
      <c r="I134" s="42" t="s">
        <v>320</v>
      </c>
      <c r="J134" s="42" t="s">
        <v>321</v>
      </c>
      <c r="K134" s="29" t="s">
        <v>322</v>
      </c>
      <c r="L134" s="42">
        <v>33</v>
      </c>
      <c r="M134" s="45" t="s">
        <v>323</v>
      </c>
      <c r="N134" s="42" t="s">
        <v>324</v>
      </c>
    </row>
    <row r="135" spans="1:14" ht="15.75" x14ac:dyDescent="0.25">
      <c r="A135" t="str">
        <f t="shared" si="4"/>
        <v>LAU2-L029-SG-V6</v>
      </c>
      <c r="D135" s="19" t="s">
        <v>70</v>
      </c>
      <c r="E135" s="3" t="s">
        <v>250</v>
      </c>
      <c r="F135" t="str">
        <f t="shared" si="5"/>
        <v>LAU2-L029-S-V6</v>
      </c>
      <c r="G135">
        <v>6</v>
      </c>
      <c r="H135" s="39">
        <v>45878</v>
      </c>
      <c r="I135" s="42" t="s">
        <v>320</v>
      </c>
      <c r="J135" s="42" t="s">
        <v>321</v>
      </c>
      <c r="K135" s="29" t="s">
        <v>322</v>
      </c>
      <c r="L135" s="42">
        <v>34</v>
      </c>
      <c r="M135" s="42" t="s">
        <v>323</v>
      </c>
      <c r="N135" s="42" t="s">
        <v>324</v>
      </c>
    </row>
    <row r="136" spans="1:14" ht="15.75" x14ac:dyDescent="0.25">
      <c r="A136" t="str">
        <f t="shared" si="4"/>
        <v>LAU2-L007-SG-V6</v>
      </c>
      <c r="D136" s="19" t="s">
        <v>26</v>
      </c>
      <c r="E136" s="3" t="s">
        <v>251</v>
      </c>
      <c r="F136" t="str">
        <f t="shared" si="5"/>
        <v>LAU2-L007-S-V6</v>
      </c>
      <c r="G136">
        <v>6</v>
      </c>
      <c r="H136" s="39">
        <v>45878</v>
      </c>
      <c r="I136" s="42" t="s">
        <v>320</v>
      </c>
      <c r="J136" s="42" t="s">
        <v>321</v>
      </c>
      <c r="K136" s="29" t="s">
        <v>322</v>
      </c>
      <c r="L136" s="42">
        <v>35</v>
      </c>
      <c r="M136" s="42" t="s">
        <v>323</v>
      </c>
      <c r="N136" s="42" t="s">
        <v>324</v>
      </c>
    </row>
    <row r="137" spans="1:14" ht="15.75" x14ac:dyDescent="0.25">
      <c r="A137" t="str">
        <f t="shared" si="4"/>
        <v>LAU2-L025-SG-V6</v>
      </c>
      <c r="D137" s="19" t="s">
        <v>62</v>
      </c>
      <c r="E137" s="3" t="s">
        <v>252</v>
      </c>
      <c r="F137" t="str">
        <f t="shared" si="5"/>
        <v>LAU2-L025-S-V6</v>
      </c>
      <c r="G137">
        <v>6</v>
      </c>
      <c r="H137" s="39">
        <v>45878</v>
      </c>
      <c r="I137" s="42" t="s">
        <v>320</v>
      </c>
      <c r="J137" s="42" t="s">
        <v>321</v>
      </c>
      <c r="K137" s="29" t="s">
        <v>322</v>
      </c>
      <c r="L137" s="42">
        <v>36</v>
      </c>
      <c r="M137" s="42" t="s">
        <v>323</v>
      </c>
      <c r="N137" s="42" t="s">
        <v>324</v>
      </c>
    </row>
    <row r="138" spans="1:14" ht="15.75" x14ac:dyDescent="0.25">
      <c r="A138" t="str">
        <f t="shared" si="4"/>
        <v>LAU2-L046-SG-V6</v>
      </c>
      <c r="D138" s="20" t="s">
        <v>104</v>
      </c>
      <c r="E138" s="3" t="s">
        <v>253</v>
      </c>
      <c r="F138" t="str">
        <f t="shared" si="5"/>
        <v>LAU2-L046-S-V6</v>
      </c>
      <c r="G138">
        <v>6</v>
      </c>
      <c r="H138" s="46">
        <v>45878</v>
      </c>
      <c r="I138" s="47" t="s">
        <v>320</v>
      </c>
      <c r="J138" s="47" t="s">
        <v>321</v>
      </c>
      <c r="K138" s="29" t="s">
        <v>322</v>
      </c>
      <c r="L138" s="42">
        <v>37</v>
      </c>
      <c r="M138" s="42" t="s">
        <v>323</v>
      </c>
      <c r="N138" s="42" t="s">
        <v>324</v>
      </c>
    </row>
    <row r="139" spans="1:14" ht="15.75" x14ac:dyDescent="0.25">
      <c r="A139" t="str">
        <f t="shared" si="4"/>
        <v>LAU2-L042-SG-V6</v>
      </c>
      <c r="D139" s="21" t="s">
        <v>96</v>
      </c>
      <c r="E139" s="3" t="s">
        <v>254</v>
      </c>
      <c r="F139" t="str">
        <f t="shared" si="5"/>
        <v>LAU2-L042-S-V6</v>
      </c>
      <c r="G139">
        <v>6</v>
      </c>
      <c r="H139" s="39">
        <v>45881</v>
      </c>
      <c r="I139" s="42" t="s">
        <v>320</v>
      </c>
      <c r="J139" s="42" t="s">
        <v>321</v>
      </c>
      <c r="K139" s="29" t="s">
        <v>322</v>
      </c>
      <c r="L139" s="42">
        <v>38</v>
      </c>
      <c r="M139" s="42" t="s">
        <v>323</v>
      </c>
      <c r="N139" s="42" t="s">
        <v>324</v>
      </c>
    </row>
    <row r="140" spans="1:14" ht="15.75" x14ac:dyDescent="0.25">
      <c r="A140" t="str">
        <f t="shared" si="4"/>
        <v>LAU2-L054-SG-V6</v>
      </c>
      <c r="D140" s="21" t="s">
        <v>120</v>
      </c>
      <c r="E140" s="3" t="s">
        <v>255</v>
      </c>
      <c r="F140" t="str">
        <f t="shared" si="5"/>
        <v>LAU2-L054-S-V6</v>
      </c>
      <c r="G140">
        <v>6</v>
      </c>
      <c r="H140" s="39">
        <v>45884</v>
      </c>
      <c r="I140" s="42" t="s">
        <v>320</v>
      </c>
      <c r="J140" s="42" t="s">
        <v>321</v>
      </c>
      <c r="K140" s="29" t="s">
        <v>322</v>
      </c>
      <c r="L140" s="42">
        <v>39</v>
      </c>
      <c r="M140" s="42" t="s">
        <v>323</v>
      </c>
      <c r="N140" s="42" t="s">
        <v>324</v>
      </c>
    </row>
    <row r="141" spans="1:14" ht="15.75" x14ac:dyDescent="0.25">
      <c r="A141" t="str">
        <f t="shared" si="4"/>
        <v>LAU2-L038-SG-V6</v>
      </c>
      <c r="D141" s="21" t="s">
        <v>88</v>
      </c>
      <c r="E141" s="3" t="s">
        <v>256</v>
      </c>
      <c r="F141" t="str">
        <f t="shared" si="5"/>
        <v>LAU2-L038-S-V6</v>
      </c>
      <c r="G141">
        <v>6</v>
      </c>
      <c r="H141" s="39">
        <v>45884</v>
      </c>
      <c r="I141" s="42" t="s">
        <v>320</v>
      </c>
      <c r="J141" s="42" t="s">
        <v>321</v>
      </c>
      <c r="K141" s="29" t="s">
        <v>322</v>
      </c>
      <c r="L141" s="42">
        <v>40</v>
      </c>
      <c r="M141" s="42" t="s">
        <v>323</v>
      </c>
      <c r="N141" s="42" t="s">
        <v>324</v>
      </c>
    </row>
    <row r="142" spans="1:14" ht="15.75" x14ac:dyDescent="0.25">
      <c r="A142" t="str">
        <f t="shared" si="4"/>
        <v>LAU2-L041-SG-V6</v>
      </c>
      <c r="D142" s="21" t="s">
        <v>94</v>
      </c>
      <c r="E142" s="3" t="s">
        <v>257</v>
      </c>
      <c r="F142" t="str">
        <f t="shared" si="5"/>
        <v>LAU2-L041-S-V6</v>
      </c>
      <c r="G142">
        <v>6</v>
      </c>
      <c r="H142" s="39">
        <v>45884</v>
      </c>
      <c r="I142" s="42" t="s">
        <v>320</v>
      </c>
      <c r="J142" s="42" t="s">
        <v>321</v>
      </c>
      <c r="K142" s="29" t="s">
        <v>322</v>
      </c>
      <c r="L142" s="42">
        <v>41</v>
      </c>
      <c r="M142" s="42" t="s">
        <v>323</v>
      </c>
      <c r="N142" s="42" t="s">
        <v>324</v>
      </c>
    </row>
    <row r="143" spans="1:14" ht="15.75" x14ac:dyDescent="0.25">
      <c r="A143" t="str">
        <f t="shared" si="4"/>
        <v>LAU2-L039-SG-V6</v>
      </c>
      <c r="D143" s="21" t="s">
        <v>90</v>
      </c>
      <c r="E143" s="3" t="s">
        <v>258</v>
      </c>
      <c r="F143" t="str">
        <f t="shared" si="5"/>
        <v>LAU2-L039-S-V6</v>
      </c>
      <c r="G143">
        <v>6</v>
      </c>
      <c r="H143" s="39">
        <v>45884</v>
      </c>
      <c r="I143" s="42" t="s">
        <v>320</v>
      </c>
      <c r="J143" s="42" t="s">
        <v>321</v>
      </c>
      <c r="K143" s="29" t="s">
        <v>322</v>
      </c>
      <c r="L143" s="42">
        <v>42</v>
      </c>
      <c r="M143" s="42" t="s">
        <v>323</v>
      </c>
      <c r="N143" s="42" t="s">
        <v>324</v>
      </c>
    </row>
    <row r="144" spans="1:14" ht="15.75" x14ac:dyDescent="0.25">
      <c r="A144" t="str">
        <f t="shared" si="4"/>
        <v>LAU2-L035-SG-V6</v>
      </c>
      <c r="D144" s="21" t="s">
        <v>82</v>
      </c>
      <c r="E144" s="3" t="s">
        <v>259</v>
      </c>
      <c r="F144" t="str">
        <f t="shared" si="5"/>
        <v>LAU2-L035-S-V6</v>
      </c>
      <c r="G144">
        <v>6</v>
      </c>
      <c r="H144" s="39">
        <v>45888</v>
      </c>
      <c r="I144" s="42" t="s">
        <v>320</v>
      </c>
      <c r="J144" s="42" t="s">
        <v>321</v>
      </c>
      <c r="K144" s="29" t="s">
        <v>322</v>
      </c>
      <c r="L144" s="42">
        <v>43</v>
      </c>
      <c r="M144" s="42" t="s">
        <v>323</v>
      </c>
      <c r="N144" s="42" t="s">
        <v>324</v>
      </c>
    </row>
    <row r="145" spans="1:14" ht="15.75" x14ac:dyDescent="0.25">
      <c r="A145" t="str">
        <f t="shared" si="4"/>
        <v>LAU2-L044-SG-V6</v>
      </c>
      <c r="D145" s="21" t="s">
        <v>100</v>
      </c>
      <c r="E145" s="3" t="s">
        <v>260</v>
      </c>
      <c r="F145" t="str">
        <f t="shared" si="5"/>
        <v>LAU2-L044-S-V6</v>
      </c>
      <c r="G145">
        <v>6</v>
      </c>
      <c r="H145" s="39">
        <v>45888</v>
      </c>
      <c r="I145" s="42" t="s">
        <v>320</v>
      </c>
      <c r="J145" s="42" t="s">
        <v>321</v>
      </c>
      <c r="K145" s="29" t="s">
        <v>322</v>
      </c>
      <c r="L145" s="42">
        <v>44</v>
      </c>
      <c r="M145" s="42" t="s">
        <v>323</v>
      </c>
      <c r="N145" s="42" t="s">
        <v>324</v>
      </c>
    </row>
    <row r="146" spans="1:14" ht="15.75" x14ac:dyDescent="0.25">
      <c r="A146" t="str">
        <f t="shared" si="4"/>
        <v>LAU2-L051-SG-V6</v>
      </c>
      <c r="D146" s="21" t="s">
        <v>114</v>
      </c>
      <c r="E146" s="3" t="s">
        <v>261</v>
      </c>
      <c r="F146" t="str">
        <f t="shared" si="5"/>
        <v>LAU2-L051-S-V6</v>
      </c>
      <c r="G146">
        <v>6</v>
      </c>
      <c r="H146" s="39">
        <v>45888</v>
      </c>
      <c r="I146" s="42" t="s">
        <v>320</v>
      </c>
      <c r="J146" s="42" t="s">
        <v>321</v>
      </c>
      <c r="K146" s="29" t="s">
        <v>322</v>
      </c>
      <c r="L146" s="42">
        <v>45</v>
      </c>
      <c r="M146" s="42" t="s">
        <v>323</v>
      </c>
      <c r="N146" s="42" t="s">
        <v>324</v>
      </c>
    </row>
    <row r="147" spans="1:14" ht="15.75" x14ac:dyDescent="0.25">
      <c r="A147" t="str">
        <f t="shared" si="4"/>
        <v>LAU2-L037-SG-V6</v>
      </c>
      <c r="D147" s="21" t="s">
        <v>86</v>
      </c>
      <c r="E147" s="3" t="s">
        <v>262</v>
      </c>
      <c r="F147" t="str">
        <f t="shared" si="5"/>
        <v>LAU2-L037-S-V6</v>
      </c>
      <c r="G147">
        <v>6</v>
      </c>
      <c r="H147" s="39">
        <v>45888</v>
      </c>
      <c r="I147" s="42" t="s">
        <v>320</v>
      </c>
      <c r="J147" s="42" t="s">
        <v>321</v>
      </c>
      <c r="K147" s="29" t="s">
        <v>322</v>
      </c>
      <c r="L147" s="42">
        <v>46</v>
      </c>
      <c r="M147" s="42" t="s">
        <v>323</v>
      </c>
      <c r="N147" s="42" t="s">
        <v>324</v>
      </c>
    </row>
    <row r="148" spans="1:14" ht="15.75" x14ac:dyDescent="0.25">
      <c r="A148" t="str">
        <f t="shared" si="4"/>
        <v>LAU2-L055-SG-V6</v>
      </c>
      <c r="D148" s="21" t="s">
        <v>122</v>
      </c>
      <c r="E148" s="3" t="s">
        <v>263</v>
      </c>
      <c r="F148" t="str">
        <f t="shared" si="5"/>
        <v>LAU2-L055-S-V6</v>
      </c>
      <c r="G148">
        <v>6</v>
      </c>
      <c r="H148" s="39">
        <v>45888</v>
      </c>
      <c r="I148" s="42" t="s">
        <v>320</v>
      </c>
      <c r="J148" s="42" t="s">
        <v>321</v>
      </c>
      <c r="K148" s="29" t="s">
        <v>322</v>
      </c>
      <c r="L148" s="42">
        <v>47</v>
      </c>
      <c r="M148" s="42" t="s">
        <v>323</v>
      </c>
      <c r="N148" s="42" t="s">
        <v>324</v>
      </c>
    </row>
    <row r="149" spans="1:14" ht="15.75" x14ac:dyDescent="0.25">
      <c r="A149" t="str">
        <f t="shared" si="4"/>
        <v>LAU2-L058-SG-V6</v>
      </c>
      <c r="D149" s="21" t="s">
        <v>128</v>
      </c>
      <c r="E149" s="3" t="s">
        <v>264</v>
      </c>
      <c r="F149" t="str">
        <f t="shared" si="5"/>
        <v>LAU2-L058-S-V6</v>
      </c>
      <c r="G149">
        <v>6</v>
      </c>
      <c r="H149" s="39">
        <v>45888</v>
      </c>
      <c r="I149" s="42" t="s">
        <v>320</v>
      </c>
      <c r="J149" s="42" t="s">
        <v>321</v>
      </c>
      <c r="K149" s="29" t="s">
        <v>322</v>
      </c>
      <c r="L149" s="42">
        <v>48</v>
      </c>
      <c r="M149" s="42" t="s">
        <v>323</v>
      </c>
      <c r="N149" s="42" t="s">
        <v>324</v>
      </c>
    </row>
    <row r="150" spans="1:14" ht="15.75" x14ac:dyDescent="0.25">
      <c r="A150" t="str">
        <f t="shared" si="4"/>
        <v>LAU2-L056-SG-V6</v>
      </c>
      <c r="D150" s="21" t="s">
        <v>124</v>
      </c>
      <c r="E150" s="3" t="s">
        <v>265</v>
      </c>
      <c r="F150" t="str">
        <f t="shared" si="5"/>
        <v>LAU2-L056-S-V6</v>
      </c>
      <c r="G150">
        <v>6</v>
      </c>
      <c r="H150" s="39">
        <v>45888</v>
      </c>
      <c r="I150" s="42" t="s">
        <v>320</v>
      </c>
      <c r="J150" s="42" t="s">
        <v>321</v>
      </c>
      <c r="K150" s="29" t="s">
        <v>322</v>
      </c>
      <c r="L150" s="42">
        <v>49</v>
      </c>
      <c r="M150" s="42" t="s">
        <v>323</v>
      </c>
      <c r="N150" s="42" t="s">
        <v>324</v>
      </c>
    </row>
    <row r="151" spans="1:14" ht="15.75" x14ac:dyDescent="0.25">
      <c r="A151" t="str">
        <f t="shared" si="4"/>
        <v>LAU2-L060-SG-V6</v>
      </c>
      <c r="D151" s="21" t="s">
        <v>132</v>
      </c>
      <c r="E151" s="3" t="s">
        <v>266</v>
      </c>
      <c r="F151" t="str">
        <f t="shared" si="5"/>
        <v>LAU2-L060-S-V6</v>
      </c>
      <c r="G151">
        <v>6</v>
      </c>
      <c r="H151" s="39">
        <v>45888</v>
      </c>
      <c r="I151" s="42" t="s">
        <v>320</v>
      </c>
      <c r="J151" s="42" t="s">
        <v>321</v>
      </c>
      <c r="K151" s="29" t="s">
        <v>322</v>
      </c>
      <c r="L151" s="42">
        <v>50</v>
      </c>
      <c r="M151" s="42" t="s">
        <v>323</v>
      </c>
      <c r="N151" s="42" t="s">
        <v>324</v>
      </c>
    </row>
    <row r="152" spans="1:14" ht="15.75" x14ac:dyDescent="0.25">
      <c r="A152" t="str">
        <f t="shared" si="4"/>
        <v>LAU2-L066-SG-V6</v>
      </c>
      <c r="D152" s="21" t="s">
        <v>144</v>
      </c>
      <c r="E152" s="3" t="s">
        <v>267</v>
      </c>
      <c r="F152" t="str">
        <f t="shared" si="5"/>
        <v>LAU2-L066-S-V6</v>
      </c>
      <c r="G152">
        <v>6</v>
      </c>
      <c r="H152" s="39">
        <v>45889</v>
      </c>
      <c r="I152" s="42" t="s">
        <v>320</v>
      </c>
      <c r="J152" s="42" t="s">
        <v>321</v>
      </c>
      <c r="K152" s="29" t="s">
        <v>322</v>
      </c>
      <c r="L152" s="42">
        <v>51</v>
      </c>
      <c r="M152" s="42" t="s">
        <v>323</v>
      </c>
      <c r="N152" s="42" t="s">
        <v>324</v>
      </c>
    </row>
    <row r="153" spans="1:14" ht="15.75" x14ac:dyDescent="0.25">
      <c r="A153" t="str">
        <f t="shared" si="4"/>
        <v>LAU2-L065-SG-V6</v>
      </c>
      <c r="D153" s="21" t="s">
        <v>142</v>
      </c>
      <c r="E153" s="3" t="s">
        <v>268</v>
      </c>
      <c r="F153" t="str">
        <f t="shared" si="5"/>
        <v>LAU2-L065-S-V6</v>
      </c>
      <c r="G153">
        <v>6</v>
      </c>
      <c r="H153" s="39">
        <v>45889</v>
      </c>
      <c r="I153" s="42" t="s">
        <v>320</v>
      </c>
      <c r="J153" s="42" t="s">
        <v>321</v>
      </c>
      <c r="K153" s="29" t="s">
        <v>322</v>
      </c>
      <c r="L153" s="42">
        <v>52</v>
      </c>
      <c r="M153" s="42" t="s">
        <v>323</v>
      </c>
      <c r="N153" s="42" t="s">
        <v>324</v>
      </c>
    </row>
    <row r="154" spans="1:14" ht="15.75" x14ac:dyDescent="0.25">
      <c r="A154" t="str">
        <f t="shared" si="4"/>
        <v>LAU2-L034-SG-V6</v>
      </c>
      <c r="D154" s="21" t="s">
        <v>80</v>
      </c>
      <c r="E154" s="3" t="s">
        <v>269</v>
      </c>
      <c r="F154" t="str">
        <f t="shared" si="5"/>
        <v>LAU2-L034-S-V6</v>
      </c>
      <c r="G154">
        <v>6</v>
      </c>
      <c r="H154" s="39">
        <v>45889</v>
      </c>
      <c r="I154" s="42" t="s">
        <v>320</v>
      </c>
      <c r="J154" s="42" t="s">
        <v>321</v>
      </c>
      <c r="K154" s="29" t="s">
        <v>322</v>
      </c>
      <c r="L154" s="42">
        <v>53</v>
      </c>
      <c r="M154" s="42" t="s">
        <v>323</v>
      </c>
      <c r="N154" s="42" t="s">
        <v>324</v>
      </c>
    </row>
    <row r="155" spans="1:14" ht="15.75" x14ac:dyDescent="0.25">
      <c r="A155" t="str">
        <f t="shared" si="4"/>
        <v>LAU2-L062-SG-V6</v>
      </c>
      <c r="D155" s="21" t="s">
        <v>136</v>
      </c>
      <c r="E155" s="3" t="s">
        <v>270</v>
      </c>
      <c r="F155" t="str">
        <f t="shared" si="5"/>
        <v>LAU2-L062-S-V6</v>
      </c>
      <c r="G155">
        <v>6</v>
      </c>
      <c r="H155" s="39">
        <v>45889</v>
      </c>
      <c r="I155" s="42" t="s">
        <v>320</v>
      </c>
      <c r="J155" s="42" t="s">
        <v>321</v>
      </c>
      <c r="K155" s="29" t="s">
        <v>322</v>
      </c>
      <c r="L155" s="42">
        <v>54</v>
      </c>
      <c r="M155" s="42" t="s">
        <v>323</v>
      </c>
      <c r="N155" s="42" t="s">
        <v>324</v>
      </c>
    </row>
    <row r="156" spans="1:14" ht="15.75" x14ac:dyDescent="0.25">
      <c r="A156" t="str">
        <f t="shared" si="4"/>
        <v>LAU2-L057-SG-V6</v>
      </c>
      <c r="D156" s="21" t="s">
        <v>126</v>
      </c>
      <c r="E156" s="3" t="s">
        <v>271</v>
      </c>
      <c r="F156" t="str">
        <f t="shared" si="5"/>
        <v>LAU2-L057-S-V6</v>
      </c>
      <c r="G156">
        <v>6</v>
      </c>
      <c r="H156" s="39">
        <v>45891</v>
      </c>
      <c r="I156" s="42" t="s">
        <v>320</v>
      </c>
      <c r="J156" s="42" t="s">
        <v>321</v>
      </c>
      <c r="K156" s="29" t="s">
        <v>322</v>
      </c>
      <c r="L156" s="42">
        <v>55</v>
      </c>
      <c r="M156" s="42" t="s">
        <v>323</v>
      </c>
      <c r="N156" s="42" t="s">
        <v>324</v>
      </c>
    </row>
    <row r="157" spans="1:14" ht="15.75" x14ac:dyDescent="0.25">
      <c r="A157" t="str">
        <f t="shared" si="4"/>
        <v>LAU2-L059-SG-V6</v>
      </c>
      <c r="D157" s="21" t="s">
        <v>130</v>
      </c>
      <c r="E157" s="3" t="s">
        <v>272</v>
      </c>
      <c r="F157" t="str">
        <f t="shared" si="5"/>
        <v>LAU2-L059-S-V6</v>
      </c>
      <c r="G157">
        <v>6</v>
      </c>
      <c r="H157" s="39">
        <v>45891</v>
      </c>
      <c r="I157" s="42" t="s">
        <v>320</v>
      </c>
      <c r="J157" s="42" t="s">
        <v>321</v>
      </c>
      <c r="K157" s="34" t="s">
        <v>322</v>
      </c>
      <c r="L157" s="42">
        <v>56</v>
      </c>
      <c r="M157" s="42" t="s">
        <v>323</v>
      </c>
      <c r="N157" s="42" t="s">
        <v>324</v>
      </c>
    </row>
    <row r="158" spans="1:14" ht="15.75" x14ac:dyDescent="0.25">
      <c r="A158" t="str">
        <f t="shared" si="4"/>
        <v>LAU2-L070-SG-V6</v>
      </c>
      <c r="D158" s="21" t="s">
        <v>150</v>
      </c>
      <c r="E158" s="3" t="s">
        <v>273</v>
      </c>
      <c r="F158" t="str">
        <f t="shared" si="5"/>
        <v>LAU2-L070-S-V6</v>
      </c>
      <c r="G158">
        <v>6</v>
      </c>
      <c r="H158" s="39">
        <v>45894</v>
      </c>
      <c r="I158" s="42" t="s">
        <v>320</v>
      </c>
      <c r="J158" s="42" t="s">
        <v>321</v>
      </c>
      <c r="K158" s="29" t="s">
        <v>322</v>
      </c>
      <c r="L158" s="42">
        <v>57</v>
      </c>
      <c r="M158" s="42" t="s">
        <v>323</v>
      </c>
      <c r="N158" s="42" t="s">
        <v>324</v>
      </c>
    </row>
    <row r="159" spans="1:14" ht="15.75" x14ac:dyDescent="0.25">
      <c r="A159" t="str">
        <f t="shared" si="4"/>
        <v>LAU2-L072-SG-V6</v>
      </c>
      <c r="D159" s="21" t="s">
        <v>154</v>
      </c>
      <c r="E159" s="3" t="s">
        <v>274</v>
      </c>
      <c r="F159" t="str">
        <f t="shared" si="5"/>
        <v>LAU2-L072-S-V6</v>
      </c>
      <c r="G159">
        <v>6</v>
      </c>
      <c r="H159" s="39">
        <v>45894</v>
      </c>
      <c r="I159" s="42" t="s">
        <v>320</v>
      </c>
      <c r="J159" s="42" t="s">
        <v>321</v>
      </c>
      <c r="K159" s="29" t="s">
        <v>322</v>
      </c>
      <c r="L159" s="42">
        <v>58</v>
      </c>
      <c r="M159" s="42" t="s">
        <v>323</v>
      </c>
      <c r="N159" s="42" t="s">
        <v>324</v>
      </c>
    </row>
    <row r="160" spans="1:14" ht="15.75" x14ac:dyDescent="0.25">
      <c r="A160" t="str">
        <f t="shared" si="4"/>
        <v>LAU2-L069-SG-V6</v>
      </c>
      <c r="D160" s="21" t="s">
        <v>148</v>
      </c>
      <c r="E160" s="3" t="s">
        <v>275</v>
      </c>
      <c r="F160" t="str">
        <f t="shared" si="5"/>
        <v>LAU2-L069-S-V6</v>
      </c>
      <c r="G160">
        <v>6</v>
      </c>
      <c r="H160" s="39">
        <v>45894</v>
      </c>
      <c r="I160" s="42" t="s">
        <v>320</v>
      </c>
      <c r="J160" s="42" t="s">
        <v>321</v>
      </c>
      <c r="K160" s="29" t="s">
        <v>322</v>
      </c>
      <c r="L160" s="42">
        <v>59</v>
      </c>
      <c r="M160" s="42" t="s">
        <v>323</v>
      </c>
      <c r="N160" s="42" t="s">
        <v>324</v>
      </c>
    </row>
    <row r="161" spans="1:14" ht="15.75" x14ac:dyDescent="0.25">
      <c r="A161" t="str">
        <f t="shared" si="4"/>
        <v>LAU2-L077-SG-V6</v>
      </c>
      <c r="D161" s="21" t="s">
        <v>164</v>
      </c>
      <c r="E161" s="3" t="s">
        <v>276</v>
      </c>
      <c r="F161" t="str">
        <f t="shared" si="5"/>
        <v>LAU2-L077-S-V6</v>
      </c>
      <c r="G161">
        <v>6</v>
      </c>
      <c r="H161" s="39">
        <v>45894</v>
      </c>
      <c r="I161" s="42" t="s">
        <v>320</v>
      </c>
      <c r="J161" s="42" t="s">
        <v>321</v>
      </c>
      <c r="K161" s="29" t="s">
        <v>322</v>
      </c>
      <c r="L161" s="42">
        <v>60</v>
      </c>
      <c r="M161" s="42" t="s">
        <v>323</v>
      </c>
      <c r="N161" s="42" t="s">
        <v>324</v>
      </c>
    </row>
    <row r="162" spans="1:14" ht="15.75" x14ac:dyDescent="0.25">
      <c r="A162" t="str">
        <f t="shared" si="4"/>
        <v>LAU2-L071-SG-V6</v>
      </c>
      <c r="D162" s="21" t="s">
        <v>152</v>
      </c>
      <c r="E162" s="3" t="s">
        <v>277</v>
      </c>
      <c r="F162" t="str">
        <f t="shared" si="5"/>
        <v>LAU2-L071-S-V6</v>
      </c>
      <c r="G162">
        <v>6</v>
      </c>
      <c r="H162" s="39">
        <v>45894</v>
      </c>
      <c r="I162" s="42" t="s">
        <v>320</v>
      </c>
      <c r="J162" s="42" t="s">
        <v>321</v>
      </c>
      <c r="K162" s="29" t="s">
        <v>322</v>
      </c>
      <c r="L162" s="42">
        <v>61</v>
      </c>
      <c r="M162" s="42" t="s">
        <v>323</v>
      </c>
      <c r="N162" s="42" t="s">
        <v>324</v>
      </c>
    </row>
    <row r="163" spans="1:14" ht="15.75" x14ac:dyDescent="0.25">
      <c r="A163" t="str">
        <f t="shared" si="4"/>
        <v>LAU2-L043-SG-V6</v>
      </c>
      <c r="D163" s="21" t="s">
        <v>98</v>
      </c>
      <c r="E163" s="3" t="s">
        <v>278</v>
      </c>
      <c r="F163" t="str">
        <f t="shared" si="5"/>
        <v>LAU2-L043-S-V6</v>
      </c>
      <c r="G163">
        <v>6</v>
      </c>
      <c r="H163" s="39">
        <v>45895</v>
      </c>
      <c r="I163" s="42" t="s">
        <v>320</v>
      </c>
      <c r="J163" s="42" t="s">
        <v>321</v>
      </c>
      <c r="K163" s="29" t="s">
        <v>322</v>
      </c>
      <c r="L163" s="42">
        <v>62</v>
      </c>
      <c r="M163" s="42" t="s">
        <v>323</v>
      </c>
      <c r="N163" s="42" t="s">
        <v>324</v>
      </c>
    </row>
    <row r="164" spans="1:14" ht="15.75" x14ac:dyDescent="0.25">
      <c r="A164" t="str">
        <f t="shared" si="4"/>
        <v>LAU2-L061-SG-V6</v>
      </c>
      <c r="D164" s="21" t="s">
        <v>134</v>
      </c>
      <c r="E164" s="3" t="s">
        <v>279</v>
      </c>
      <c r="F164" t="str">
        <f t="shared" si="5"/>
        <v>LAU2-L061-S-V6</v>
      </c>
      <c r="G164">
        <v>6</v>
      </c>
      <c r="H164" s="39">
        <v>45895</v>
      </c>
      <c r="I164" s="42" t="s">
        <v>320</v>
      </c>
      <c r="J164" s="42" t="s">
        <v>321</v>
      </c>
      <c r="K164" s="29" t="s">
        <v>322</v>
      </c>
      <c r="L164" s="42">
        <v>63</v>
      </c>
      <c r="M164" s="42" t="s">
        <v>323</v>
      </c>
      <c r="N164" s="42" t="s">
        <v>324</v>
      </c>
    </row>
    <row r="165" spans="1:14" ht="15.75" x14ac:dyDescent="0.25">
      <c r="A165" t="str">
        <f t="shared" si="4"/>
        <v>LAU2-L081-SG-V6</v>
      </c>
      <c r="D165" s="22" t="s">
        <v>171</v>
      </c>
      <c r="E165" s="3" t="s">
        <v>280</v>
      </c>
      <c r="F165" t="str">
        <f t="shared" si="5"/>
        <v>LAU2-L081-S-V6</v>
      </c>
      <c r="G165">
        <v>6</v>
      </c>
      <c r="H165" s="46">
        <v>45895</v>
      </c>
      <c r="I165" s="47" t="s">
        <v>320</v>
      </c>
      <c r="J165" s="47" t="s">
        <v>321</v>
      </c>
      <c r="K165" s="29" t="s">
        <v>322</v>
      </c>
      <c r="L165" s="47">
        <v>64</v>
      </c>
      <c r="M165" s="47" t="s">
        <v>323</v>
      </c>
      <c r="N165" s="42" t="s">
        <v>324</v>
      </c>
    </row>
    <row r="166" spans="1:14" ht="15.75" x14ac:dyDescent="0.25">
      <c r="A166" t="str">
        <f t="shared" si="4"/>
        <v>LAU2-L063-SG-V6</v>
      </c>
      <c r="D166" s="21" t="s">
        <v>138</v>
      </c>
      <c r="E166" s="3" t="s">
        <v>281</v>
      </c>
      <c r="F166" t="str">
        <f t="shared" si="5"/>
        <v>LAU2-L063-S-V6</v>
      </c>
      <c r="G166">
        <v>6</v>
      </c>
      <c r="H166" s="39">
        <v>45896</v>
      </c>
      <c r="I166" s="47" t="s">
        <v>320</v>
      </c>
      <c r="J166" s="47" t="s">
        <v>321</v>
      </c>
      <c r="K166" s="29" t="s">
        <v>322</v>
      </c>
      <c r="L166" s="47">
        <v>65</v>
      </c>
      <c r="M166" s="47" t="s">
        <v>323</v>
      </c>
      <c r="N166" s="42" t="s">
        <v>324</v>
      </c>
    </row>
    <row r="167" spans="1:14" ht="15.75" x14ac:dyDescent="0.25">
      <c r="A167" t="str">
        <f t="shared" si="4"/>
        <v>LAU2-L103-SG-V6</v>
      </c>
      <c r="D167" s="21" t="s">
        <v>282</v>
      </c>
      <c r="E167" s="3" t="s">
        <v>283</v>
      </c>
      <c r="F167" t="str">
        <f t="shared" si="5"/>
        <v>LAU2-L103-S-V6</v>
      </c>
      <c r="G167">
        <v>6</v>
      </c>
      <c r="H167" s="39">
        <v>45898</v>
      </c>
      <c r="I167" s="47" t="s">
        <v>320</v>
      </c>
      <c r="J167" s="47" t="s">
        <v>321</v>
      </c>
      <c r="K167" s="29" t="s">
        <v>322</v>
      </c>
      <c r="L167" s="47">
        <v>66</v>
      </c>
      <c r="M167" s="47" t="s">
        <v>323</v>
      </c>
      <c r="N167" s="42" t="s">
        <v>324</v>
      </c>
    </row>
    <row r="168" spans="1:14" ht="15.75" x14ac:dyDescent="0.25">
      <c r="A168" t="str">
        <f t="shared" si="4"/>
        <v>LAU2-L080-SG-V6</v>
      </c>
      <c r="D168" s="21">
        <v>836338</v>
      </c>
      <c r="E168" s="3" t="s">
        <v>284</v>
      </c>
      <c r="F168" t="str">
        <f t="shared" si="5"/>
        <v>LAU2-L080-S-V6</v>
      </c>
      <c r="G168">
        <v>6</v>
      </c>
      <c r="H168" s="39">
        <v>45898</v>
      </c>
      <c r="I168" s="47" t="s">
        <v>320</v>
      </c>
      <c r="J168" s="47" t="s">
        <v>321</v>
      </c>
      <c r="K168" s="29" t="s">
        <v>322</v>
      </c>
      <c r="L168" s="47">
        <v>67</v>
      </c>
      <c r="M168" s="47" t="s">
        <v>323</v>
      </c>
      <c r="N168" s="42" t="s">
        <v>324</v>
      </c>
    </row>
    <row r="169" spans="1:14" ht="15.75" x14ac:dyDescent="0.25">
      <c r="A169" t="str">
        <f t="shared" si="4"/>
        <v>LAU2-L084-SG-V6</v>
      </c>
      <c r="D169" s="21" t="s">
        <v>177</v>
      </c>
      <c r="E169" s="3" t="s">
        <v>285</v>
      </c>
      <c r="F169" t="str">
        <f t="shared" si="5"/>
        <v>LAU2-L084-S-V6</v>
      </c>
      <c r="G169">
        <v>6</v>
      </c>
      <c r="H169" s="39">
        <v>45898</v>
      </c>
      <c r="I169" s="47" t="s">
        <v>320</v>
      </c>
      <c r="J169" s="47" t="s">
        <v>321</v>
      </c>
      <c r="K169" s="29" t="s">
        <v>322</v>
      </c>
      <c r="L169" s="47">
        <v>68</v>
      </c>
      <c r="M169" s="47" t="s">
        <v>323</v>
      </c>
      <c r="N169" s="42" t="s">
        <v>324</v>
      </c>
    </row>
    <row r="170" spans="1:14" ht="15.75" x14ac:dyDescent="0.25">
      <c r="A170" t="str">
        <f t="shared" si="4"/>
        <v>LAU2-L083-SG-V6</v>
      </c>
      <c r="D170" s="21" t="s">
        <v>175</v>
      </c>
      <c r="E170" s="3" t="s">
        <v>286</v>
      </c>
      <c r="F170" t="str">
        <f t="shared" si="5"/>
        <v>LAU2-L083-S-V6</v>
      </c>
      <c r="G170">
        <v>6</v>
      </c>
      <c r="H170" s="39">
        <v>45898</v>
      </c>
      <c r="I170" s="47" t="s">
        <v>320</v>
      </c>
      <c r="J170" s="47" t="s">
        <v>321</v>
      </c>
      <c r="K170" s="29" t="s">
        <v>322</v>
      </c>
      <c r="L170" s="47">
        <v>69</v>
      </c>
      <c r="M170" s="47" t="s">
        <v>323</v>
      </c>
      <c r="N170" s="42" t="s">
        <v>324</v>
      </c>
    </row>
    <row r="171" spans="1:14" ht="15.75" x14ac:dyDescent="0.25">
      <c r="A171" t="str">
        <f t="shared" si="4"/>
        <v>LAU2-L076-SG-V6</v>
      </c>
      <c r="D171" s="21" t="s">
        <v>162</v>
      </c>
      <c r="E171" s="3" t="s">
        <v>287</v>
      </c>
      <c r="F171" t="str">
        <f t="shared" si="5"/>
        <v>LAU2-L076-S-V6</v>
      </c>
      <c r="G171">
        <v>6</v>
      </c>
      <c r="H171" s="39">
        <v>45901</v>
      </c>
      <c r="I171" s="47" t="s">
        <v>320</v>
      </c>
      <c r="J171" s="47" t="s">
        <v>321</v>
      </c>
      <c r="K171" s="29" t="s">
        <v>322</v>
      </c>
      <c r="L171" s="47">
        <v>70</v>
      </c>
      <c r="M171" s="47" t="s">
        <v>323</v>
      </c>
      <c r="N171" s="42" t="s">
        <v>324</v>
      </c>
    </row>
    <row r="172" spans="1:14" ht="15.75" x14ac:dyDescent="0.25">
      <c r="A172" t="str">
        <f t="shared" si="4"/>
        <v>LAU2-L040-SG-V6</v>
      </c>
      <c r="D172" s="21" t="s">
        <v>92</v>
      </c>
      <c r="E172" s="3" t="s">
        <v>288</v>
      </c>
      <c r="F172" t="str">
        <f t="shared" si="5"/>
        <v>LAU2-L040-S-V6</v>
      </c>
      <c r="G172">
        <v>6</v>
      </c>
      <c r="H172" s="39">
        <v>45901</v>
      </c>
      <c r="I172" s="47" t="s">
        <v>320</v>
      </c>
      <c r="J172" s="47" t="s">
        <v>321</v>
      </c>
      <c r="K172" s="29" t="s">
        <v>322</v>
      </c>
      <c r="L172" s="47">
        <v>71</v>
      </c>
      <c r="M172" s="47" t="s">
        <v>323</v>
      </c>
      <c r="N172" s="42" t="s">
        <v>324</v>
      </c>
    </row>
    <row r="173" spans="1:14" ht="15.75" x14ac:dyDescent="0.25">
      <c r="A173" t="str">
        <f t="shared" si="4"/>
        <v>LAU2-L052-SG-V6</v>
      </c>
      <c r="D173" s="21" t="s">
        <v>116</v>
      </c>
      <c r="E173" s="3" t="s">
        <v>289</v>
      </c>
      <c r="F173" t="str">
        <f t="shared" si="5"/>
        <v>LAU2-L052-S-V6</v>
      </c>
      <c r="G173">
        <v>6</v>
      </c>
      <c r="H173" s="39">
        <v>45903</v>
      </c>
      <c r="I173" s="47" t="s">
        <v>320</v>
      </c>
      <c r="J173" s="47" t="s">
        <v>321</v>
      </c>
      <c r="K173" s="29" t="s">
        <v>322</v>
      </c>
      <c r="L173" s="47">
        <v>72</v>
      </c>
      <c r="M173" s="47" t="s">
        <v>323</v>
      </c>
      <c r="N173" s="42" t="s">
        <v>324</v>
      </c>
    </row>
    <row r="174" spans="1:14" ht="15.75" x14ac:dyDescent="0.25">
      <c r="A174" t="str">
        <f t="shared" si="4"/>
        <v>LAU2-L074-SG-V6</v>
      </c>
      <c r="D174" s="21" t="s">
        <v>158</v>
      </c>
      <c r="E174" s="3" t="s">
        <v>290</v>
      </c>
      <c r="F174" t="str">
        <f t="shared" si="5"/>
        <v>LAU2-L074-S-V6</v>
      </c>
      <c r="G174">
        <v>6</v>
      </c>
      <c r="H174" s="39">
        <v>45903</v>
      </c>
      <c r="I174" s="47" t="s">
        <v>320</v>
      </c>
      <c r="J174" s="47" t="s">
        <v>321</v>
      </c>
      <c r="K174" s="29" t="s">
        <v>322</v>
      </c>
      <c r="L174" s="47">
        <v>73</v>
      </c>
      <c r="M174" s="47" t="s">
        <v>323</v>
      </c>
      <c r="N174" s="42" t="s">
        <v>324</v>
      </c>
    </row>
    <row r="175" spans="1:14" ht="15.75" x14ac:dyDescent="0.25">
      <c r="A175" t="str">
        <f t="shared" si="4"/>
        <v>LAU2-L093-SG-V6</v>
      </c>
      <c r="D175" s="21" t="s">
        <v>189</v>
      </c>
      <c r="E175" s="3" t="s">
        <v>291</v>
      </c>
      <c r="F175" t="str">
        <f t="shared" si="5"/>
        <v>LAU2-L093-S-V6</v>
      </c>
      <c r="G175">
        <v>6</v>
      </c>
      <c r="H175" s="39">
        <v>45903</v>
      </c>
      <c r="I175" s="47" t="s">
        <v>320</v>
      </c>
      <c r="J175" s="47" t="s">
        <v>321</v>
      </c>
      <c r="K175" s="29" t="s">
        <v>322</v>
      </c>
      <c r="L175" s="47">
        <v>74</v>
      </c>
      <c r="M175" s="47" t="s">
        <v>323</v>
      </c>
      <c r="N175" s="42" t="s">
        <v>324</v>
      </c>
    </row>
    <row r="176" spans="1:14" ht="15.75" x14ac:dyDescent="0.25">
      <c r="A176" t="str">
        <f t="shared" si="4"/>
        <v>LAU2-L096-SG-V6</v>
      </c>
      <c r="D176" s="21" t="s">
        <v>195</v>
      </c>
      <c r="E176" s="3" t="s">
        <v>292</v>
      </c>
      <c r="F176" t="str">
        <f t="shared" si="5"/>
        <v>LAU2-L096-S-V6</v>
      </c>
      <c r="G176">
        <v>6</v>
      </c>
      <c r="H176" s="39">
        <v>45905</v>
      </c>
      <c r="I176" s="47" t="s">
        <v>320</v>
      </c>
      <c r="J176" s="47" t="s">
        <v>321</v>
      </c>
      <c r="K176" s="29" t="s">
        <v>322</v>
      </c>
      <c r="L176" s="47">
        <v>75</v>
      </c>
      <c r="M176" s="47" t="s">
        <v>323</v>
      </c>
      <c r="N176" s="42" t="s">
        <v>324</v>
      </c>
    </row>
    <row r="177" spans="1:14" ht="15.75" x14ac:dyDescent="0.25">
      <c r="A177" t="str">
        <f t="shared" si="4"/>
        <v>LAU2-L106-SG-V6</v>
      </c>
      <c r="D177" s="21" t="s">
        <v>293</v>
      </c>
      <c r="E177" s="3" t="s">
        <v>294</v>
      </c>
      <c r="F177" t="str">
        <f t="shared" si="5"/>
        <v>LAU2-L106-S-V6</v>
      </c>
      <c r="G177">
        <v>6</v>
      </c>
      <c r="H177" s="39">
        <v>45905</v>
      </c>
      <c r="I177" s="47" t="s">
        <v>320</v>
      </c>
      <c r="J177" s="47" t="s">
        <v>321</v>
      </c>
      <c r="K177" s="29" t="s">
        <v>322</v>
      </c>
      <c r="L177" s="47">
        <v>76</v>
      </c>
      <c r="M177" s="47" t="s">
        <v>323</v>
      </c>
      <c r="N177" s="42" t="s">
        <v>324</v>
      </c>
    </row>
    <row r="178" spans="1:14" ht="15.75" x14ac:dyDescent="0.25">
      <c r="A178" t="str">
        <f t="shared" si="4"/>
        <v>LAU2-L097-SG-V6</v>
      </c>
      <c r="D178" s="21" t="s">
        <v>197</v>
      </c>
      <c r="E178" s="3" t="s">
        <v>295</v>
      </c>
      <c r="F178" t="str">
        <f t="shared" si="5"/>
        <v>LAU2-L097-S-V6</v>
      </c>
      <c r="G178">
        <v>6</v>
      </c>
      <c r="H178" s="39">
        <v>45905</v>
      </c>
      <c r="I178" s="47" t="s">
        <v>320</v>
      </c>
      <c r="J178" s="47" t="s">
        <v>321</v>
      </c>
      <c r="K178" s="29" t="s">
        <v>322</v>
      </c>
      <c r="L178" s="47">
        <v>77</v>
      </c>
      <c r="M178" s="47" t="s">
        <v>323</v>
      </c>
      <c r="N178" s="42" t="s">
        <v>324</v>
      </c>
    </row>
    <row r="179" spans="1:14" ht="15.75" x14ac:dyDescent="0.25">
      <c r="A179" t="str">
        <f t="shared" si="4"/>
        <v>LAU2-L047-SG-V6</v>
      </c>
      <c r="D179" s="21" t="s">
        <v>106</v>
      </c>
      <c r="E179" s="3" t="s">
        <v>296</v>
      </c>
      <c r="F179" t="str">
        <f t="shared" si="5"/>
        <v>LAU2-L047-S-V6</v>
      </c>
      <c r="G179">
        <v>6</v>
      </c>
      <c r="H179" s="39">
        <v>45905</v>
      </c>
      <c r="I179" s="47" t="s">
        <v>320</v>
      </c>
      <c r="J179" s="47" t="s">
        <v>321</v>
      </c>
      <c r="K179" s="29" t="s">
        <v>322</v>
      </c>
      <c r="L179" s="47">
        <v>78</v>
      </c>
      <c r="M179" s="47" t="s">
        <v>323</v>
      </c>
      <c r="N179" s="42" t="s">
        <v>324</v>
      </c>
    </row>
    <row r="180" spans="1:14" ht="15.75" x14ac:dyDescent="0.25">
      <c r="A180" t="str">
        <f t="shared" si="4"/>
        <v>LAU2-L079-SG-V6</v>
      </c>
      <c r="D180" s="21" t="s">
        <v>168</v>
      </c>
      <c r="E180" s="3" t="s">
        <v>297</v>
      </c>
      <c r="F180" t="str">
        <f t="shared" si="5"/>
        <v>LAU2-L079-S-V6</v>
      </c>
      <c r="G180">
        <v>6</v>
      </c>
      <c r="H180" s="39">
        <v>45909</v>
      </c>
      <c r="I180" s="47" t="s">
        <v>320</v>
      </c>
      <c r="J180" s="47" t="s">
        <v>321</v>
      </c>
      <c r="K180" s="29" t="s">
        <v>322</v>
      </c>
      <c r="L180" s="47">
        <v>79</v>
      </c>
      <c r="M180" s="47" t="s">
        <v>323</v>
      </c>
      <c r="N180" s="42" t="s">
        <v>324</v>
      </c>
    </row>
    <row r="181" spans="1:14" ht="15.75" x14ac:dyDescent="0.25">
      <c r="A181" t="str">
        <f t="shared" si="4"/>
        <v>LAU2-L022-SG-V6</v>
      </c>
      <c r="D181" s="21" t="s">
        <v>56</v>
      </c>
      <c r="E181" s="3" t="s">
        <v>298</v>
      </c>
      <c r="F181" t="str">
        <f t="shared" si="5"/>
        <v>LAU2-L022-S-V6</v>
      </c>
      <c r="G181">
        <v>6</v>
      </c>
      <c r="H181" s="39">
        <v>45909</v>
      </c>
      <c r="I181" s="47" t="s">
        <v>320</v>
      </c>
      <c r="J181" s="47" t="s">
        <v>321</v>
      </c>
      <c r="K181" s="29" t="s">
        <v>322</v>
      </c>
      <c r="L181" s="47">
        <v>80</v>
      </c>
      <c r="M181" s="47" t="s">
        <v>323</v>
      </c>
      <c r="N181" s="48" t="s">
        <v>332</v>
      </c>
    </row>
    <row r="182" spans="1:14" ht="15.75" x14ac:dyDescent="0.25">
      <c r="A182" t="str">
        <f t="shared" si="4"/>
        <v>LAU2-L094-SG-V6</v>
      </c>
      <c r="D182" s="21" t="s">
        <v>191</v>
      </c>
      <c r="E182" s="3" t="s">
        <v>299</v>
      </c>
      <c r="F182" t="str">
        <f t="shared" si="5"/>
        <v>LAU2-L094-S-V6</v>
      </c>
      <c r="G182">
        <v>6</v>
      </c>
      <c r="H182" s="39">
        <v>45909</v>
      </c>
      <c r="I182" s="47" t="s">
        <v>320</v>
      </c>
      <c r="J182" s="47" t="s">
        <v>321</v>
      </c>
      <c r="K182" s="29" t="s">
        <v>322</v>
      </c>
      <c r="L182" s="47">
        <v>81</v>
      </c>
      <c r="M182" s="47" t="s">
        <v>323</v>
      </c>
      <c r="N182" s="42" t="s">
        <v>324</v>
      </c>
    </row>
    <row r="183" spans="1:14" ht="15.75" x14ac:dyDescent="0.25">
      <c r="A183" t="str">
        <f t="shared" si="4"/>
        <v>LAU2-L089-SG-V6</v>
      </c>
      <c r="D183" s="21" t="s">
        <v>183</v>
      </c>
      <c r="E183" s="3" t="s">
        <v>300</v>
      </c>
      <c r="F183" t="str">
        <f t="shared" si="5"/>
        <v>LAU2-L089-S-V6</v>
      </c>
      <c r="G183">
        <v>6</v>
      </c>
      <c r="H183" s="39">
        <v>45909</v>
      </c>
      <c r="I183" s="47" t="s">
        <v>320</v>
      </c>
      <c r="J183" s="47" t="s">
        <v>321</v>
      </c>
      <c r="K183" s="29" t="s">
        <v>329</v>
      </c>
      <c r="L183" s="47">
        <v>1</v>
      </c>
      <c r="M183" s="47" t="s">
        <v>323</v>
      </c>
      <c r="N183" s="42" t="s">
        <v>324</v>
      </c>
    </row>
    <row r="184" spans="1:14" ht="15.75" x14ac:dyDescent="0.25">
      <c r="A184" t="str">
        <f t="shared" si="4"/>
        <v>LAU2-L082-SG-V6</v>
      </c>
      <c r="D184" s="21" t="s">
        <v>173</v>
      </c>
      <c r="E184" s="3" t="s">
        <v>301</v>
      </c>
      <c r="F184" t="str">
        <f t="shared" si="5"/>
        <v>LAU2-L082-S-V6</v>
      </c>
      <c r="G184">
        <v>6</v>
      </c>
      <c r="H184" s="39">
        <v>45909</v>
      </c>
      <c r="I184" s="47" t="s">
        <v>320</v>
      </c>
      <c r="J184" s="47" t="s">
        <v>321</v>
      </c>
      <c r="K184" s="29" t="s">
        <v>329</v>
      </c>
      <c r="L184" s="47">
        <v>2</v>
      </c>
      <c r="M184" s="47" t="s">
        <v>323</v>
      </c>
      <c r="N184" s="42" t="s">
        <v>324</v>
      </c>
    </row>
    <row r="185" spans="1:14" ht="15.75" x14ac:dyDescent="0.25">
      <c r="A185" t="str">
        <f t="shared" si="4"/>
        <v>LAU2-L107-SG-V6</v>
      </c>
      <c r="D185" s="22" t="s">
        <v>302</v>
      </c>
      <c r="E185" s="13" t="s">
        <v>303</v>
      </c>
      <c r="F185" t="str">
        <f t="shared" si="5"/>
        <v>LAU2-L107-S-V6</v>
      </c>
      <c r="G185">
        <v>6</v>
      </c>
      <c r="H185" s="39">
        <v>45910</v>
      </c>
      <c r="I185" s="47" t="s">
        <v>320</v>
      </c>
      <c r="J185" s="47" t="s">
        <v>321</v>
      </c>
      <c r="K185" s="29" t="s">
        <v>329</v>
      </c>
      <c r="L185" s="47">
        <v>3</v>
      </c>
      <c r="M185" s="47" t="s">
        <v>323</v>
      </c>
      <c r="N185" s="42" t="s">
        <v>324</v>
      </c>
    </row>
    <row r="186" spans="1:14" ht="31.5" x14ac:dyDescent="0.25">
      <c r="A186" t="str">
        <f t="shared" si="4"/>
        <v>LAU2-L068-SG-V6</v>
      </c>
      <c r="D186" s="23" t="s">
        <v>146</v>
      </c>
      <c r="E186" s="24" t="s">
        <v>304</v>
      </c>
      <c r="F186" t="str">
        <f t="shared" si="5"/>
        <v>LAU2-L068-S-V6</v>
      </c>
      <c r="G186">
        <v>6</v>
      </c>
      <c r="H186" s="39">
        <v>45915</v>
      </c>
      <c r="I186" s="47" t="s">
        <v>320</v>
      </c>
      <c r="J186" s="47" t="s">
        <v>321</v>
      </c>
      <c r="K186" s="29" t="s">
        <v>329</v>
      </c>
      <c r="L186" s="47">
        <v>4</v>
      </c>
      <c r="M186" s="47" t="s">
        <v>323</v>
      </c>
      <c r="N186" s="42" t="s">
        <v>324</v>
      </c>
    </row>
    <row r="187" spans="1:14" ht="31.5" x14ac:dyDescent="0.25">
      <c r="A187" t="str">
        <f t="shared" si="4"/>
        <v>LAU2-L090-SG-V6</v>
      </c>
      <c r="D187" s="23" t="s">
        <v>185</v>
      </c>
      <c r="E187" s="24" t="s">
        <v>305</v>
      </c>
      <c r="F187" t="str">
        <f t="shared" si="5"/>
        <v>LAU2-L090-S-V6</v>
      </c>
      <c r="G187">
        <v>6</v>
      </c>
      <c r="H187" s="39">
        <v>45916</v>
      </c>
      <c r="I187" s="47" t="s">
        <v>320</v>
      </c>
      <c r="J187" s="47" t="s">
        <v>321</v>
      </c>
      <c r="K187" s="29" t="s">
        <v>329</v>
      </c>
      <c r="L187" s="47">
        <v>5</v>
      </c>
      <c r="M187" s="47" t="s">
        <v>323</v>
      </c>
      <c r="N187" s="42" t="s">
        <v>324</v>
      </c>
    </row>
    <row r="188" spans="1:14" ht="31.5" x14ac:dyDescent="0.25">
      <c r="A188" t="str">
        <f t="shared" si="4"/>
        <v>LAU2-L075-SG-V6</v>
      </c>
      <c r="D188" s="25" t="s">
        <v>160</v>
      </c>
      <c r="E188" s="26" t="s">
        <v>306</v>
      </c>
      <c r="F188" t="str">
        <f t="shared" si="5"/>
        <v>LAU2-L075-S-V6</v>
      </c>
      <c r="G188">
        <v>6</v>
      </c>
      <c r="H188" s="46">
        <v>45917</v>
      </c>
      <c r="I188" s="47" t="s">
        <v>320</v>
      </c>
      <c r="J188" s="47" t="s">
        <v>321</v>
      </c>
      <c r="K188" s="29" t="s">
        <v>329</v>
      </c>
      <c r="L188" s="47">
        <v>6</v>
      </c>
      <c r="M188" s="47" t="s">
        <v>323</v>
      </c>
      <c r="N188" s="42" t="s">
        <v>324</v>
      </c>
    </row>
    <row r="189" spans="1:14" ht="31.5" x14ac:dyDescent="0.25">
      <c r="A189" t="str">
        <f t="shared" si="4"/>
        <v>LAU2-L108-SG-V6</v>
      </c>
      <c r="D189" s="25" t="s">
        <v>307</v>
      </c>
      <c r="E189" s="26" t="s">
        <v>308</v>
      </c>
      <c r="F189" t="str">
        <f t="shared" si="5"/>
        <v>LAU2-L108-S-V6</v>
      </c>
      <c r="G189">
        <v>6</v>
      </c>
      <c r="H189" s="46">
        <v>45918</v>
      </c>
      <c r="I189" s="47" t="s">
        <v>320</v>
      </c>
      <c r="J189" s="47" t="s">
        <v>321</v>
      </c>
      <c r="K189" s="29" t="s">
        <v>329</v>
      </c>
      <c r="L189" s="47">
        <v>7</v>
      </c>
      <c r="M189" s="47" t="s">
        <v>323</v>
      </c>
      <c r="N189" s="42" t="s">
        <v>324</v>
      </c>
    </row>
    <row r="190" spans="1:14" ht="31.5" x14ac:dyDescent="0.25">
      <c r="A190" t="str">
        <f t="shared" si="4"/>
        <v>LAU2-L098-SG-V6</v>
      </c>
      <c r="D190" s="23" t="s">
        <v>199</v>
      </c>
      <c r="E190" s="24" t="s">
        <v>309</v>
      </c>
      <c r="F190" t="str">
        <f t="shared" si="5"/>
        <v>LAU2-L098-S-V6</v>
      </c>
      <c r="G190">
        <v>6</v>
      </c>
      <c r="H190" s="46">
        <v>45919</v>
      </c>
      <c r="I190" s="47" t="s">
        <v>320</v>
      </c>
      <c r="J190" s="47" t="s">
        <v>321</v>
      </c>
      <c r="K190" s="29" t="s">
        <v>329</v>
      </c>
      <c r="L190" s="47">
        <v>8</v>
      </c>
      <c r="M190" s="47" t="s">
        <v>323</v>
      </c>
      <c r="N190" s="42" t="s">
        <v>324</v>
      </c>
    </row>
    <row r="191" spans="1:14" ht="31.5" x14ac:dyDescent="0.25">
      <c r="A191" t="str">
        <f t="shared" si="4"/>
        <v>LAU2-L099-SG-V6</v>
      </c>
      <c r="D191" s="27" t="s">
        <v>201</v>
      </c>
      <c r="E191" s="24" t="s">
        <v>310</v>
      </c>
      <c r="F191" t="str">
        <f t="shared" si="5"/>
        <v>LAU2-L099-S-V6</v>
      </c>
      <c r="G191">
        <v>6</v>
      </c>
      <c r="H191" s="46">
        <v>45919</v>
      </c>
      <c r="I191" s="47" t="s">
        <v>320</v>
      </c>
      <c r="J191" s="47" t="s">
        <v>321</v>
      </c>
      <c r="K191" s="29" t="s">
        <v>329</v>
      </c>
      <c r="L191" s="47">
        <v>9</v>
      </c>
      <c r="M191" s="47" t="s">
        <v>323</v>
      </c>
      <c r="N191" s="42" t="s">
        <v>324</v>
      </c>
    </row>
    <row r="192" spans="1:14" ht="31.5" x14ac:dyDescent="0.25">
      <c r="A192" t="str">
        <f t="shared" si="4"/>
        <v>LAU2-L104-SG-V6</v>
      </c>
      <c r="D192" s="27">
        <v>377702</v>
      </c>
      <c r="E192" s="24" t="s">
        <v>311</v>
      </c>
      <c r="F192" t="str">
        <f t="shared" si="5"/>
        <v>LAU2-L104-S-V6</v>
      </c>
      <c r="G192">
        <v>6</v>
      </c>
      <c r="H192" s="46">
        <v>45922.470833333333</v>
      </c>
      <c r="I192" s="47" t="s">
        <v>320</v>
      </c>
      <c r="J192" s="47" t="s">
        <v>321</v>
      </c>
      <c r="K192" s="29" t="s">
        <v>329</v>
      </c>
      <c r="L192" s="47">
        <v>10</v>
      </c>
      <c r="M192" s="47" t="s">
        <v>323</v>
      </c>
      <c r="N192" s="42" t="s">
        <v>324</v>
      </c>
    </row>
    <row r="193" spans="1:14" ht="31.5" x14ac:dyDescent="0.25">
      <c r="A193" t="str">
        <f t="shared" si="4"/>
        <v>LAU2-L110-SG-V6</v>
      </c>
      <c r="D193" s="27" t="s">
        <v>312</v>
      </c>
      <c r="E193" s="24" t="s">
        <v>313</v>
      </c>
      <c r="F193" t="str">
        <f t="shared" si="5"/>
        <v>LAU2-L110-S-V6</v>
      </c>
      <c r="G193">
        <v>6</v>
      </c>
      <c r="H193" s="46">
        <v>45922.508333333331</v>
      </c>
      <c r="I193" s="47" t="s">
        <v>320</v>
      </c>
      <c r="J193" s="47" t="s">
        <v>321</v>
      </c>
      <c r="K193" s="29" t="s">
        <v>329</v>
      </c>
      <c r="L193" s="47">
        <v>11</v>
      </c>
      <c r="M193" s="47" t="s">
        <v>323</v>
      </c>
      <c r="N193" s="42" t="s">
        <v>324</v>
      </c>
    </row>
    <row r="194" spans="1:14" ht="31.5" x14ac:dyDescent="0.25">
      <c r="A194" t="str">
        <f t="shared" si="4"/>
        <v>LAU2-L100-SG-V6</v>
      </c>
      <c r="D194" s="27" t="s">
        <v>203</v>
      </c>
      <c r="E194" s="24" t="s">
        <v>314</v>
      </c>
      <c r="F194" t="str">
        <f t="shared" si="5"/>
        <v>LAU2-L100-S-V6</v>
      </c>
      <c r="G194">
        <v>6</v>
      </c>
      <c r="H194" s="46">
        <v>45926.541666666664</v>
      </c>
      <c r="I194" s="47" t="s">
        <v>320</v>
      </c>
      <c r="J194" s="47" t="s">
        <v>321</v>
      </c>
      <c r="K194" s="29" t="s">
        <v>329</v>
      </c>
      <c r="L194" s="47">
        <v>12</v>
      </c>
      <c r="M194" s="47" t="s">
        <v>323</v>
      </c>
      <c r="N194" s="42" t="s">
        <v>324</v>
      </c>
    </row>
    <row r="195" spans="1:14" ht="31.5" x14ac:dyDescent="0.25">
      <c r="A195" t="str">
        <f t="shared" ref="A195:A198" si="6">SUBSTITUTE(E195,"-G-","-SG-")</f>
        <v>LAU2-L109-SG-V6</v>
      </c>
      <c r="D195" s="27" t="s">
        <v>315</v>
      </c>
      <c r="E195" s="24" t="s">
        <v>316</v>
      </c>
      <c r="F195" t="str">
        <f t="shared" ref="F195:F198" si="7">SUBSTITUTE(E195,"-G-","-S-")</f>
        <v>LAU2-L109-S-V6</v>
      </c>
      <c r="G195">
        <v>6</v>
      </c>
      <c r="H195" s="46">
        <v>45929.530555555553</v>
      </c>
      <c r="I195" s="47" t="s">
        <v>320</v>
      </c>
      <c r="J195" s="47" t="s">
        <v>321</v>
      </c>
      <c r="K195" s="29" t="s">
        <v>329</v>
      </c>
      <c r="L195" s="47">
        <v>13</v>
      </c>
      <c r="M195" s="47" t="s">
        <v>323</v>
      </c>
      <c r="N195" s="42" t="s">
        <v>324</v>
      </c>
    </row>
    <row r="196" spans="1:14" ht="31.5" x14ac:dyDescent="0.25">
      <c r="A196" t="str">
        <f t="shared" si="6"/>
        <v>LAU2-L092-SG-V6</v>
      </c>
      <c r="D196" s="23" t="s">
        <v>187</v>
      </c>
      <c r="E196" s="24" t="s">
        <v>317</v>
      </c>
      <c r="F196" t="str">
        <f t="shared" si="7"/>
        <v>LAU2-L092-S-V6</v>
      </c>
      <c r="G196">
        <v>6</v>
      </c>
      <c r="H196" s="49">
        <v>45930.470833333333</v>
      </c>
      <c r="I196" s="47" t="s">
        <v>320</v>
      </c>
      <c r="J196" s="47" t="s">
        <v>321</v>
      </c>
      <c r="K196" s="29" t="s">
        <v>329</v>
      </c>
      <c r="L196" s="47">
        <v>14</v>
      </c>
      <c r="M196" s="47" t="s">
        <v>323</v>
      </c>
      <c r="N196" s="42" t="s">
        <v>324</v>
      </c>
    </row>
    <row r="197" spans="1:14" ht="31.5" x14ac:dyDescent="0.25">
      <c r="A197" t="str">
        <f t="shared" si="6"/>
        <v>LAU2-L102-SG-V6</v>
      </c>
      <c r="D197" s="23" t="s">
        <v>207</v>
      </c>
      <c r="E197" s="24" t="s">
        <v>318</v>
      </c>
      <c r="F197" t="str">
        <f t="shared" si="7"/>
        <v>LAU2-L102-S-V6</v>
      </c>
      <c r="G197">
        <v>6</v>
      </c>
      <c r="H197" s="50">
        <v>45933.427777777775</v>
      </c>
      <c r="I197" s="47" t="s">
        <v>320</v>
      </c>
      <c r="J197" s="47" t="s">
        <v>321</v>
      </c>
      <c r="K197" s="29" t="s">
        <v>329</v>
      </c>
      <c r="L197" s="47">
        <v>15</v>
      </c>
      <c r="M197" s="47" t="s">
        <v>323</v>
      </c>
      <c r="N197" s="42" t="s">
        <v>324</v>
      </c>
    </row>
    <row r="198" spans="1:14" ht="31.5" x14ac:dyDescent="0.25">
      <c r="A198" t="str">
        <f t="shared" si="6"/>
        <v>LAU2-L105-SG-V6</v>
      </c>
      <c r="D198" s="23" t="s">
        <v>210</v>
      </c>
      <c r="E198" s="24" t="s">
        <v>319</v>
      </c>
      <c r="F198" t="str">
        <f t="shared" si="7"/>
        <v>LAU2-L105-S-V6</v>
      </c>
      <c r="G198">
        <v>6</v>
      </c>
      <c r="H198" s="50">
        <v>45933.427777777775</v>
      </c>
      <c r="I198" s="47" t="s">
        <v>320</v>
      </c>
      <c r="J198" s="47" t="s">
        <v>321</v>
      </c>
      <c r="K198" s="29" t="s">
        <v>329</v>
      </c>
      <c r="L198" s="47">
        <v>16</v>
      </c>
      <c r="M198" s="47" t="s">
        <v>323</v>
      </c>
      <c r="N198" s="42" t="s">
        <v>324</v>
      </c>
    </row>
  </sheetData>
  <conditionalFormatting sqref="E2:E198">
    <cfRule type="duplicateValues" dxfId="0" priority="1"/>
  </conditionalFormatting>
  <pageMargins left="0.7" right="0.7" top="0.75" bottom="0.75" header="0.3" footer="0.3"/>
  <headerFooter>
    <oddFooter>&amp;Cdata&amp;L&amp;D&amp;RPage 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GAVIDIA CROVETTO, BRUNO PAOLO</cp:lastModifiedBy>
  <dcterms:created xsi:type="dcterms:W3CDTF">2026-01-27T22:29:14Z</dcterms:created>
  <dcterms:modified xsi:type="dcterms:W3CDTF">2026-01-27T22:42:31Z</dcterms:modified>
</cp:coreProperties>
</file>